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juju/llm_final_project/Final_Project/outputs/yuting/"/>
    </mc:Choice>
  </mc:AlternateContent>
  <xr:revisionPtr revIDLastSave="0" documentId="13_ncr:1_{A8272A85-B233-D146-B48E-987613C17B0B}" xr6:coauthVersionLast="47" xr6:coauthVersionMax="47" xr10:uidLastSave="{00000000-0000-0000-0000-000000000000}"/>
  <bookViews>
    <workbookView xWindow="15920" yWindow="920" windowWidth="14180" windowHeight="18580" activeTab="2" xr2:uid="{9856F374-AE30-4B0A-B231-8DEB9BADA14B}"/>
  </bookViews>
  <sheets>
    <sheet name="NewSamples" sheetId="13" r:id="rId1"/>
    <sheet name="FineTunedSamples" sheetId="15" r:id="rId2"/>
    <sheet name="Overall" sheetId="16"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 i="15" l="1"/>
  <c r="H23" i="15"/>
  <c r="H23" i="13"/>
  <c r="F23" i="13"/>
</calcChain>
</file>

<file path=xl/sharedStrings.xml><?xml version="1.0" encoding="utf-8"?>
<sst xmlns="http://schemas.openxmlformats.org/spreadsheetml/2006/main" count="306" uniqueCount="212">
  <si>
    <t>CaseNO</t>
  </si>
  <si>
    <t>Patient Conditions</t>
  </si>
  <si>
    <t>Correct Diagnosis</t>
  </si>
  <si>
    <t>Pertussis</t>
  </si>
  <si>
    <t>Azithromycin 500 mgx1cp first day, then 250 mgx1cp for 4 days, symptomatic treatment</t>
  </si>
  <si>
    <t>COPD</t>
  </si>
  <si>
    <t>Bronchodilators: Inhaled bronchodilators to relax the muscles around the airways.
     - Steroids: Inhaled corticosteroids to reduce inflammation.
     - Pulmonary Rehabilitation: A program of exercise and education.
     - Oxygen Therapy: If blood oxygen levels are low.
     - Lifestyle Changes: Weight management, nutritious diet, and pulmonary exercises.</t>
  </si>
  <si>
    <t>Community-Acquired Pneumonia (CAP)</t>
  </si>
  <si>
    <t>Calculation of CURB65, based on that administer empiric antibiotic treatment after collection of microbiological sample. In mild case: amoxicillin or macrolide for 5 days, in moderate amoxicillin or macrolide for 7-10 days, in severe case macrolide +  amoxicillin-clavulanate, cefotaxime, ceftaroline fosamil, ceftriaxone, cefuroxime e piperacillina-tazobactam. Support vital function and lab test monitoring in all</t>
  </si>
  <si>
    <t>Broad spectrum antibiotic (change to specfic antibiotic after colture analisis), fluid (crystalloids) replacement (to be established according to fluid tolerance and fluid responsiveness), norepinephrine to mantain mean arterial pressure above 65 mmHg (adding vasopressin in case of refractory shock),  ventilation support (mechanical ventilation with a tidal volume of 6 ml/kg is preferred)</t>
  </si>
  <si>
    <t>Acute bacterial Prostatitis</t>
  </si>
  <si>
    <t xml:space="preserve">ciprofloxacin 500 mg 2 times/day for 10 to 14 days, levofloxacin 500 to 750 mg 1 time/day for 10 to 14 days. If patient can't assume that, trimethoprim/sulfamethoxazole 1607800 2 TIME/DAY FOR 10 TO 14 DAYS. If symtoms persist, add 14 day of antimicrobial therapy, symtomatic treatment like NSAID. </t>
  </si>
  <si>
    <t>Cerebral Malaria</t>
  </si>
  <si>
    <t>timely intravenous administration of antimalarials</t>
  </si>
  <si>
    <t>Hairy cell leukemia variant</t>
  </si>
  <si>
    <t>Watchful waiting when possible.
Rituximab.
Vemurafenib (or other BRAF inhibitors) with or without rituximab.
Immunotherapy (recombinant interferon alpha-2b).
Ibrutinib.
Moxetumomab pasudotox-tdfk.
Cladribine with or without rituximab.
Pentostatin.</t>
  </si>
  <si>
    <t>bacterial cystitis, dysbiosis</t>
  </si>
  <si>
    <t xml:space="preserve">blood test, urine test, urine culture, antibiotic, gynaecological if symptoms persist. </t>
  </si>
  <si>
    <t>fatty liver disease</t>
  </si>
  <si>
    <t xml:space="preserve">blood test, diet changes, gastroenterological visit </t>
  </si>
  <si>
    <t xml:space="preserve">Septick shock </t>
  </si>
  <si>
    <t>Sepsis</t>
  </si>
  <si>
    <t xml:space="preserve"> IV fluid resuscitation
* IV antibiotics (ceftriaxone)
* Vasopressors (if necessary)</t>
  </si>
  <si>
    <t>urosepsis</t>
  </si>
  <si>
    <t xml:space="preserve">type I necrotizing fasciitis, sepsis </t>
  </si>
  <si>
    <t xml:space="preserve">Antibiotics, wound medication, support therapy. </t>
  </si>
  <si>
    <t xml:space="preserve">gastroenteritis  </t>
  </si>
  <si>
    <t xml:space="preserve"> hydration, analgesic, anxiolytic (diazepam). </t>
  </si>
  <si>
    <t xml:space="preserve">Septic arthritis, impending avascular necrosis, brucella infection </t>
  </si>
  <si>
    <t xml:space="preserve">surgery, antibiotic, support therapy </t>
  </si>
  <si>
    <t xml:space="preserve">sepsis, cellulitis, aortitis, tricuspid insufficiency, septic vegetation, endocarditis </t>
  </si>
  <si>
    <t xml:space="preserve"> antibiotic, surgery, support therapy</t>
  </si>
  <si>
    <t xml:space="preserve">salmonella minor infection, sepsis, mycotic aortic aneurysm, aortitis, abscess, drug allergy </t>
  </si>
  <si>
    <t xml:space="preserve"> antibiotic, support therapy. </t>
  </si>
  <si>
    <t xml:space="preserve"> indigestion </t>
  </si>
  <si>
    <t xml:space="preserve">prokinetic </t>
  </si>
  <si>
    <t>Septic arthritis</t>
  </si>
  <si>
    <t>intravenous antibiotics</t>
  </si>
  <si>
    <t>bacterial meningitis</t>
  </si>
  <si>
    <t xml:space="preserve">Hemophagocytic Lymphohistiocytosis (HLH)
</t>
  </si>
  <si>
    <t xml:space="preserve"> Fluid rehydration
* Blood transfusions
* Combination therapy with meropenem and minocycline
* Anti-inflammatory therapy with methylprednisolone sodium succinate
* Etoposide</t>
  </si>
  <si>
    <t>Antithrombotics, supportive care, and rehabilitation.</t>
  </si>
  <si>
    <t xml:space="preserve">periorbital cellulitis  </t>
  </si>
  <si>
    <t xml:space="preserve">antibiotics, steroids, monitoring </t>
  </si>
  <si>
    <t xml:space="preserve">cardio-embolism, ischemic stroke </t>
  </si>
  <si>
    <t xml:space="preserve">thrombolysis or thrombectomy, admission in neurosurgery </t>
  </si>
  <si>
    <t xml:space="preserve">UC re-activation  </t>
  </si>
  <si>
    <t xml:space="preserve">steroids, anti-inflammatory, support </t>
  </si>
  <si>
    <t xml:space="preserve">viral myocarditis, viral sepsis </t>
  </si>
  <si>
    <t xml:space="preserve">Antiviral, support therapy </t>
  </si>
  <si>
    <t xml:space="preserve"> Pseudomonas aeruginosa diarrhea</t>
  </si>
  <si>
    <t xml:space="preserve"> Ciprofloxacin 750 mg twice a day for seven days, as the sensitivity analysis showed the bacteria were susceptible to this antibiotic.</t>
  </si>
  <si>
    <t>Septick shock</t>
  </si>
  <si>
    <t xml:space="preserve">Broad spectrum antibiotic (change to specfic antibiotic after colture analisis), fluid (crystalloids) replacement (to be established according to fluid tolerance and fluid responsiveness), norepinephrine to mantain mean arterial pressure above 65 mmHg (adding vasopressin in case of refractory shock),  </t>
  </si>
  <si>
    <t xml:space="preserve">COVID-19 associated stroke </t>
  </si>
  <si>
    <t>Intrabullous hemorrhage</t>
  </si>
  <si>
    <t>Conservative management with close monitoring, smoking cessation, and optimization of COPD treatment.</t>
  </si>
  <si>
    <t>infective pharyngitis</t>
  </si>
  <si>
    <t>sexual disorder secondary to therapy</t>
  </si>
  <si>
    <t>medicine switch</t>
  </si>
  <si>
    <t>antibiotics, steroids, support therapy</t>
  </si>
  <si>
    <t>AIS</t>
  </si>
  <si>
    <t>unprovoked superficial thrombophlebitis</t>
  </si>
  <si>
    <t>Elevate the limb when resting. Take nonsteroidal anti-inflammatory drugs (NSAIDs). Wear compression stockings (if the blood clot is in your leg).</t>
  </si>
  <si>
    <t>Lyme carditis</t>
  </si>
  <si>
    <t>Recommended classes of antibiotics include those that have demonstrated the greatest effectiveness against Borrelia spirochete, with β-lactams, particularly cephalosporins, and tetracyclines as preferred agents.3 Treatment guidelines established by the Infectious Diseases Society of America recommend that patients with Lyme carditis be treated with either oral or parenteral antibiotic therapy for a duration of 14 days.9 The preferred parenteral agent for Lyme carditis is ceftriaxone, and the preferred oral agents include amoxicillin, doxycycline, and cefuroxime axetil.9 Even though no evidence exists to suggest that parenteral antibiotic therapy is more efficacious than oral antibiotic therapy, a parenteral antibiotic is recommended for initial treatment of hospitalized patients.9 The parenteral antibiotic should be continued until the high-degree AV block has resolved and the P-R internal has deceased to &lt;300 ms, after which the patient should be transitioned to an oral antibiotic for completion of therapy</t>
  </si>
  <si>
    <t>Metformin side effects</t>
  </si>
  <si>
    <t>Discontinue metformin, provide supportive care, and initiate hemodialysis to correct acidosis and remove metformin from the system.</t>
  </si>
  <si>
    <t>An IV injection of recombinant tissue plasminogen activator (TPA) is the gold standard treatment for ischemic stroke. The two types of TPA are alteplase (Activase) and tenecteplase (TNKase). An injection of TPA is usually given through a vein in the arm within the first three hours.</t>
  </si>
  <si>
    <t>NOH</t>
  </si>
  <si>
    <t>Midodrine 5 mg PO q4H ×3 to increase blood pressure.
  - Lifestyle Modifications: Ensure adequate hydration, increase salt intake (with medical supervision), and avoid standing quickly.
  - Supportive Measures: Family should assist the patient to a supine position during pre-syncopal symptoms.
  - Regular Monitoring: Orthostatic vital signs and symptoms frequency, possibly utilizing an implantable loop recorder to rule out arrhythmias.</t>
  </si>
  <si>
    <t xml:space="preserve">Carotid Sinus Hypersensitivity (CSS):
</t>
  </si>
  <si>
    <t xml:space="preserve"> Avoid triggers: The first line of treatment for carotid sinus hypersensitivity is to avoid triggers that can cause syncope. This includes avoiding activities that involve pressure on the neck, such as shaving, wearing tight collars, or sleeping on one's side.
* Medications: Medications can be used to prevent carotid sinus hypersensitivity. These medications include beta-blockers, which slow the heart rate, and calcium channel blockers, which block the effects of calcium on the heart and blood vessels.
* Pacemaker: In refractory cases, permanent pacemaker placement may be considered. A pacemaker can help to prevent syncope by pacing the heart at a regular rate.</t>
  </si>
  <si>
    <t>Galcanezumab-induced sexual dysfunction</t>
  </si>
  <si>
    <t>Discontinue galcanezumab and consider alternative migraine prophylaxis options, such as topiramate, propranolol, or amitriptyline.
   - If the patient's sexual function improves after discontinuing galcanezumab, consider re-challenging with a lower dose or an alternative CGRP antagonist, such as erenumab or fremanezumab, while monitoring for sexual side effects.</t>
  </si>
  <si>
    <t xml:space="preserve">symptomatic therapy </t>
  </si>
  <si>
    <t>Correct Treatment</t>
  </si>
  <si>
    <t>Correct Responses in New Samples (Before Fine-tuning)</t>
  </si>
  <si>
    <t>Correct Responses in FineTuned Samples  (Before Fine-tuning)</t>
  </si>
  <si>
    <t>Correct Responses in New Samples (After Fine-tuning)</t>
  </si>
  <si>
    <t>Correct Responses in FineTuned Samples  (After Fine-tuning)</t>
  </si>
  <si>
    <t>Response of Engine Before Fine-tuning</t>
  </si>
  <si>
    <t>Result of Diagnosis (Correct /Wrong ) Before Fine-tuning</t>
  </si>
  <si>
    <t>Response of Engine After Fine-tuning</t>
  </si>
  <si>
    <t>Result of Diagnosis (Correct /Wrong ) After Fine-tuning</t>
  </si>
  <si>
    <t>Settings (LR=X, BT=Y, EP=Z)</t>
  </si>
  <si>
    <t>Responses Changed from Wrong to Correct After Fine-tuning (New Samples)</t>
  </si>
  <si>
    <t>Responses Changed from Wrong to Correct After Fine-tuning (FineTuned Samples)</t>
  </si>
  <si>
    <t>Responses Changed from Correct to Wrong  After Fine-tuning (New Samples)</t>
  </si>
  <si>
    <t>Responses Changed from Correct to Wrong  After Fine-tuning (FineTuned Samples)</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</si>
  <si>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A 42-year-old man with no known significant medical or surgical history presents with altered mental status and seizures. Because of his altered mental status, his history is obtained from his father, who states that the patient moved to the United States 3 months ago from the Democratic Republic of the Congo. He says that prior to moving to the United States, the patient traveled through Central America for several months. 
The patient currently lives in Brooklyn, New York, and does not have a history of travel within the United States. He has no known animal or agricultural exposures and was in normal health before his current presentation. He does not take any medications and has no known drug allergies. 
Physical Examination and Workup 
On physical examination, the patient generally appears ill. His pulse is regular at 58 beats/min, his respiration rate is 18 breaths/min, his temperature is 38.1 °C, and his blood pressure is 109/56 mm Hg. Examination of his throat shows no erythema or oral lesions. He has no nuchal rigidity or cervical lymphadenopathy. Heart sounds are normal, and lungs are clear to auscultation. He has no abdominal distension, and his abdomen is soft and nontender. No rashes are noted. Results of a neurologic examination are grossly normal. The patient is alert and intermittently answers questions; however, he is lethargic and has a flat affect.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</si>
  <si>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73-year-old female obese smoker, ED setting 
Clinical history: history of hypertension, and a recent diagnosis of right lower lobe (RLL) lung mass, presented to the emergency department (ED) complaining of progressively worsening dysphagia for few weeks. The patient had difficulty swallowing both liquids and solids. She reported decreased appetite, weight loss, and multiple episodes of non-bloody vomiting. She  decided to go to the ED, as her symptoms became more severe. 
The patient had a remote history of 20 pack-years of smoking cigarettes. Her medications included Aspirin, Iron Pills, Atorvastatin, and Lisinopril. On physical examination, she was hypothermic with a temperature of 35.6 degrees Celsius and tachycardic with a heart rate of 103. The patient looked cachectic, not vigil, and chronically ill. She also had dry oral mucous membranes. The initial laboratory results showed significant leukocytosis with a white blood cell count of 29.3 thousand/ul and hyponatremia with a sodium of 127 mmol/L. The urine was cloudy in appearance, and it contained leukocyte esterase and more than 50 white blood cells. The chest X-ray revealed RLL mass, with no evidence of pulmonary consolidation. The patient was admitted to a telemetry bed and was started on aggressive IV hydration and IV ceftriaxone as a treatment for severe sepsis syndrome. The source of the sepsis was thought to be a urinary tract infection as the urine culture grew Kluyvera ascorbata and Streptococcus agalactiae (group B), and both organisms were sensitive to ceftriaxone. The hospital course was prolonged and complicated. During the first 24 hours, the patient went into atrial fibrillation with rapid ventricular rate and was started on IV amiodarone and heparin drip. She also had an abrupt onset of cold and discolored left leg that required an emergent vascular surgery evaluation. The patient was found to have left femoral artery occlusion and underwent left iliac artery stenting and left femoral endarterectomy. 
Furthermore, she had a CT-guided biopsy of the RLL mass and the pathology was consistent with primary adenocarcinoma. The patient was intubated for the surgical procedure and the biopsy. A few days later, she was briefly extubated; however, she continued to have significant hypoxia and hypotension. There was also a concern for aspiration pneumonia. Palliative care team was involved and after an extensive discussion with family, the decision was made to change the code status to DNR. Patient died after 2 weeks of hospitalization. The endoscopy was never done as the patient was never in a stable condition throughout her hospital stay.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</si>
  <si>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69 yo f patient, Caucasian, smoker, obese, ED setting.  
She consulted her family doctor because of chills and light lumbar tenderness for which she was prescribed antibiotic (ciprofloxacin), without further investigation, except for urine tests that turned negative. Symptoms rapidly resolved at this time. 
After 3 weeks presented at the emergency room mainly complaining of right lumbar pain. She denied nausea, vomiting, loss of appetite or change in bowel habits. She reported no abdominal pain or fever. She never had abdominal or spine intervention. Back pain was something new and no precipitating factor was identified. She was feeling numbness in the right thigh.  
Vital sign: BT 39.1 °C, BP 105/65 mmHg, HR 110 bpm, SpO2 98%.  Patient alert, oriented, collaborative. The patient was walking with right limp. No abdominal sign. There was erythema on the right flank and on the right lumbar region. On palpation, subcutaneous crepitus was felt. Doctor prescribed blood test and CT of abdomen. The blood test results were: White blood cell 26.4 × 109/L with 87 % polymorphonuclear cells that is sign of bacterial infection, Hemoglobin was 9,7 g/dL, CRP was &gt;350 mg/L. An abdominal CT scan showed air in the soft tissues of the postero-inferior and lateral areas along the fascial planes. This was in communication with a retroperitoneal collection besides the iliopsoas muscle. The appendix was proximally normal but distally enlarged at 12 mm and entered the collection with an evident perforation.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</si>
  <si>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7 yo  F patient, territorial and ED setting 
 She presented in ambulatory  for fever and right hip pain. The patient’s fever was continuous, partially relieved with antipyretic, and associated with chills. Her hip pain was a nonradiating groin pain, progressive in severity, continuous, and associated with limping and the inability to bear weight. The patient’s mother reported that the patient had a history of minor trauma that occurred 2 days before the symptoms started. The patient lives on a farm that has cows and goats.  
Suspected diagnosis: synovitis 
Therapy: rest. 
 Three days later, patient went to hospital.  
Vital signs: BP 110/70 mmHg, BT 41°C, SpO2 99%. She was complaining of severe pain in the hip and refusing to put weight on it. When lying in bed, she kept her hip in a flexed, abducted, and externally rotated position. Her passive and active hip motion was restricted because of the pain. The examination of her remaining musculoskeletal system and other body organs was unremarkable. There were no palpable lymph nodes and no evidence of hepatosplenomegaly. Laboratory blood tests showed a normal leukocyte count of 4380x10^3/mm3. The differential count showed decreased neutrophils (32%) and increased lymphocytes (52%). An increased erythrocyte sedimentation rate (ESR 31 mmHg) and C-reactive protein level (CRP 27.02 mg/dl) were also noted. The hemoglobin level was 10.30 g/dL, and the blood culture was negative. A pelvic X-ray, ultrasound, and magnetic resonance imaging (MRI) were ordered. The X-ray showed no changes, and the ultrasound showed joint effusion. The MRI revealed a moderate amount of joint effusion with enhanced synovium.  
The synovium appeared of low signal intensity on T2 and STIR, which could have been related to blood products. It also showed a small enhanced wall collection anterolateral to the neck of the right femur, measuring about 0.4 cm × 0.5 cm and associated with surrounding enhanced intramuscular edema. The right femoral head appeared diffusely hypo-enhanced compared to the left, raising concern of impending avascular necrosis. Septic arthritis was the first differential diagnosis made. On admission, the patient was treated with vancomycin.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</si>
  <si>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49 yo M patient with a history of suicidal depression, polyneuropathy, spinal stenosis and alcoholism, smoker, ED setting 
He presented to our hospital with fever and cold chills. He had been experiencing increasing pain in his back during the previous few months for which he had been ingesting increasing amounts of alcohol (up to several bottles of wine per day) and benzodiazepines (60–80 mg diazepam per day), while eating less and losing weight. He was an active smoker and did not use intravenous drugs. On admittance, he appeared ill and was haemodynamically unstable His vital signs were: BT 38.6°C, HR 105 bpm, RR 17/m, BP 75/6o mmHg, SpO2 99%. Chest examination revealed normal heart sounds and slight right-sided pulmonary crackles. Further examination exposed a large area of erythema on his right upper leg, measuring 15x30 cm with local swelling of the skin. Next to this lesion, petechiae were noted on 10x10 cm surface area. Palpation of the spine was not painful. 
Laboratory results showed haemoglobin of 4.4 mmol/L, WBC 15.4x10^9/L, platelet count of 60x10^9/L, ESR of 114 mm/h, CRp of 192 mg/L,blood urea of 7.5 mg/L, Alkaline phosphatase  of 270 IU/L, lactate dehydrogenase 342 IU/L, ALT 79 IU/L, AST 94 IU/L, yGT 256 IU/L. The ECG showed sinus rhythm at 98 beats/min, without abnormalities. Chest radiography disclosed an enlarged mediastinum and prominent right heart border, but no signs of a pleural effusion or infiltration.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</si>
  <si>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65 yo F patient, type 1 diabetes, ED setting, normal weight. She was a retired farmer. 
She was hospitalized because of fever and chills for more than two weeks. He had a body weight of 60 kg and was well until 3 days prior to admission to a regional hospital. Parenteral cefazolin was ineffective and intermittent fever persisted. A general skin rash over the limbs and trunk and mild dyspnea developed under cefazolin therapy. Blood cultures grew S. Choleraesuis resistant to ampicillin, chloramphenicol, and trimethoprim/sulfamethoxazole, but susceptible to ceftriaxone and ciprofloxacin. Abdominal pain radiating to the back and tenderness over the lower abdomen were reported by the patient. An abdominal computed tomography (CT) scan disclosed infrarenal infective aortitis, a paraaortic abscess and a suspected mycotic aneurysm. Pus obtained by CT-guided percutaneous aspiration of the paraaortic abscess grew S. Choleraesuis with the same antibiogram as the blood isolate. Based on the suspicion of a probable Salmonella mycotic aneurysm, the patient was transferred to the emergency department (ED) of a medical center for further evaluation and management.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</si>
  <si>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76 yo, M patient, ED setting, came by himself, overweight, Caucasian. Clinical history of arterial hypertension in therapy with antihypertensive (zanipril, bisoprolol, hydrochlorothiazide). 
After dinner he present epigastric pain after assumption of cold beverage, after that he is fainted. No chest pain.  
Vital signs: HR 63 bpm, BP 110/70 mmHg, SpO2 99%, BT 36.5 
Patient alert, oriented, collaborative, lung and heart objectivity normal, no abdominal and neurological sign. Doctor perform ecg that showed no pathological sign.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</si>
  <si>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61-year-old Hispanic male, overweight smoker. 
 Home visit 
no past medical history presented subjective fevers, burning on urination, penile and testicular pain for four days. On arrival, the patient was vitally stable, I told the son to bring him to ED cause I suspected a serious UTI.  
Physical examination was positive for tenderness to palpation at the base of the penis and testicular area with no appreciable masses. 
Vital signs: BP 120/82 mmHg, HR 75/min and BT 37.4°C.  
ED settings 
On the admission the patient was still conscious and cooperative. Initial work up was remarkable for 16000 leukocytes with differential of 88.8% neutrophils, hemoglobin of 14.0g/dl, platelets of 130,000, lactic acid of 1.3 mmol/L, creatinine of 1.0mg/dl, glucose levels of 249 mg/dl and electrolytes were within normal limits. The urinalysis was cloudy, showing +20 WBC's, large blood, trace leukocyte esterase and negative nitrites.  
Physical and vital examination were  same as I described at home visit.  
Scrotal ultrasound had shown several indeterminate nodular lesions in the left testicle but no other major findings. CT of pelvis (Figure 1) with contrast revealed a dilation of proximal portion of urethra, possible fluid collection suggestive of a congenital urethral cyst, possible subcutaneous edema of the penis and anterior wall of scrotum and small soft tissue gas in the head of penis as well. Urology team was consulted and based on the clinical stability and nonspecific findings in the patient, the diagnostic impression was a possible urinary tract infection. They considered that the findings of small soft tissue gas found in the CT scan were likely secondary to the uncircumcised foreskin. After four hours, the patient developed acute onset of hypotension with a BP of 95/58mmHg, HR 130/min and temperature of 39.9 °C. The patient had hyperglycemia with level of 249 mg/dl on initial presentation, the glycated hemoglobin was ordered and reported with a value of 8.7 mg/dl, patient was diagnosed with diabetes mellitus. Chlamydia, gonorrhea, RPR and HIV tests were all negative, positive for Eggerthella Lenta. Four weeks later, the patient had followed up as outpatient with repeated CT imaging showing complete resolution of the abscess.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</si>
  <si>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​​A 39-year-old male with a history of diabetes mellitus was admitted complaining of generalized body ache and fatigue for a week. The patient reported having bilateral arm pain; it was a dull 8/10 on a pain scale and associated with limited range of motion in both shoulder joints. He denied any trauma to the joints. The patient reported non-bloody loose stools during the same period but no fever, chills, abdominal pain, cough, sore throat, urinary symptoms, limb weakness, or rash. He denied any recent travel, being in contact with anyone with similar symptoms, and positive testing for COVID-19. The patient was sexually active with a single female partner. 
Triage vital signs were significant for temperature of 102.6°F and heart rate of 152 beats per minute while all other signs were unremarkable. On physical examination, the patient was found to have a soft non-distended abdomen with mild tenderness on deep palpation but no organomegaly and normal bowel sound on auscultation. The left testicle was enlarged with mild tenderness but returned a negative transillumination test. A musculoskeletal examination was significant for mild tenderness in both shoulders with relatively more swelling in the right joint. The patient’s motor strength in both upper extremities was 3/5, likely due to pain with no focal neurological deficit. The rest of the physical examination was non-significant. 
The patient was initially admitted for sepsis likely due to urogenital infection with the possibility of epididymo-orchitis versus necrotizing infection in the perineum versus septic arthritis of the bilateral shoulder joints: ultrasound of the scrotum was suggestive of left epididymo-orchitis; CT of the abdomen and pelvis (Figure ​(Figure1)1) had suggested a gas-forming infectious process in the perineum; and imaging of the shoulders had shown a moderate amount of fluid within the subacromial-subdeltoid bursae as well as within the joint(Figure ​joint(Figure22 and Figure ​Figure33). Blood cultures were sent, and CT-guided aspiration of the joints with purulent fluid study was performed. The patient was started initially on broad-spectrum antibiotics (vancomycin and meropenem) but later switched first to nafcillin and then to cefazolin and clindamycin as the blood cultures grew methicillin-sensitive S. aureus (MSSA) bacteremia and the aspirated fluid was positive for S. schleiferi. Both transthoracic and transesophageal echocardiograms were negative for vegetations. An HIV test was negative and immunoglobulin levels for IgA, IgM, IgE, and IgG were all normal, thus ruling out common immunodeficiency diseases. Inflammatory markers were high with an ESR of 171, CRP of 401, and C3 of 239. Rheumatoid factor as well as antimitochondrial, anti-smooth muscle, antinuclear, and other rheumatologic antibodies were negative. 
CT abdomen and pelvis showing enlargement and heterogeneity of the left seminal vesicles, with soft tissue fullness and obliteration of the fat planes between the rectum, prostate gland, and seminal vesicles(shown by orange arrow). These findings are concerning for gas-forming infectious process. 
CT of the right shoulder showing a hypodense intramuscular collection (yellow lines marking length and breadth of the collection) with no signs of gas, concerning for intramuscular hematoma versus infection specifically in the infraspinatus muscle. 
CT of left shoulder joint showing a hypodense collection (yellow lines showing dimensions, length and breadth of the collection) with multiple foci of air concerning for intramuscular hematoma/abscess which measures 8.0 x 3.8 cm in the anterior left shoulder, specifically the musculature of the anterior deltoid and pectoralis major/minor. 
One week following the resolution of the effusion, the patient complained of bilateral shoulder pain and associated limitation of motion. A shoulder MRI was conducted which indicated inflammation of the muscle and ruled out abscess or osteomyelitis as shown in Figure ​Figure4.4. The patient’s pain and the swelling improved with administration of NSAIDs, and his inflammatory markers normalized. During the course of his hospitalization, the patient was afebrile. On day 13, however, he developed acute shortness of breath and tachycardia. A CT chest angiogram was performed as shown in Figure ​Figure5,5, which was suggestive of a septic embolus in the right lung, likely the disseminated MSSA bacteremia. A heparin drip was initiated, then switched to low molecular heparin, and ultimately bridging to oral NOAC.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</si>
  <si>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A 68-year-old Chinese male presented with a fever, with a temperature of up to 39.5°C, and continued to experience chills for more than 7 days. His red blood cell count (RBC), hemoglobin (Hgb), and platelet (Plt) count were all reduced (Table 1). He was admitted to the intensive care unit of Enshi Central Hospital in Hubei province. After the onset of the disease, the patient underwent antibiotic therapy at a local clinic, receiving a daily intravenous dose of 0.5 g levofloxacin for over 7 days. However, there was no significant improvement in the patient's condition. The patient was a farmer who lived in a karst mountain forest environment. Before this, he was in good health and had no other chronic diseases. 
In the initial physical examination, the patient's body temperature was 36.3°C, pulse rate was 88 beats per minute, breathing rate was 18 breaths per minute, blood pressure was 100/60 mmHg, and both breathing and heart rate were regular. The patient exhibited a lean physique and a notably pale skin complexion while maintaining mental clarity. There was no rash or bleeding point all over his body. A scar of size 0.50*0.5 cm2 was visible in the lower right abdomen, but there were no other apparent abnormalities. 
Preliminary laboratory examination showed a significant decrease in white blood cells, lymphocytes, monocytes, red blood cells, hematocrit, platelets, and platelet volume. The neutrophil ratio was increased. Serum levels of alanine aminotransferase (ALT), aspartate aminotransferase (AST), alkaline phosphatase (ALP), lactate dehydrogenase (LDH), C-reactive protein (CRP), and procalcitonin (PCT) were significantly elevated. In addition, prothrombin time (PT) was increased, and D-dimer levels and fibrinogen degradation products (FDPs) were elevated (Table 1). All tests for viral respiratory pathogens, typical nuclear antibody spectrum, human immunodeficiency virus, and syphilis were negative. The patient was subjected to three distinct blood cell culture analyses, and all conclusively reported negative results. Concurrently, serological testing for antibodies associated with the Epstein–Barr Virus (EBV) and the Cytomegalovirus (CMV) was conducted, revealing negative outcomes. The nasal swab tested negative for the presence of COVID-19 RNA. Ferritin levels were extremely high, and the patient tested positive for hepatitis B virus antigen. Natural killer cell activity was 3.75%, and the activity was decreased. All inflammation markers associated with HLH were elevated, including CD25 (3,644 U/ml), ferritin (above 1,500 ng/ml, reference range: 23.9~336.2 ng/ml), interleukin-6 (6.49 pg/L), and TNF-1(19 fmol/ml). Through high-throughput gene detection (NGS) of blood PMseq-DNA, we identified hepatitis B virus (HBV) and rickettsia presence in the samples (Supplementary Table S1, Supplementary Figure S1). The results of the HBV DNA were 9.35*104 IU/ml. A regimen of 0.25 mg/day entecavir was used to treat patients with chronic hepatitis B. 
The patient has a 0.5 × 0.5 cm2 scar on his lower right abdomen, caused by a mosquito bite that occurred more than 10 days before hospital admission (Figure 1). The patient underwent cardiac and abdominal ultrasound imaging, which indicated right heart enlargement—the right atrium and ventricle transverse diameters were 5.1 cm and 4.8 cm, respectively. The left ventricular ejection fraction was 71%, and the left ventricle's short-axis fractional shortening was 40%. The liver was unremarkable, with clear intrahepatic vasculature. The spleen was normal, measuring 3.7 cm in thickness, with a smooth capsule and no splenic vein dilation. The renal parenchyma of both kidneys exhibited increased echogenicity, accompanied by the presence of small cysts. A chest CT scan revealed two inflammatory lung lesions and mild interstitial pulmonary edema (Figure 2A). Additionally, bilateral pleural effusion, lower pulmonary partial atelectasis, and bilateral pleural thickening were observed (Figure 2B). Aortic thickening was also observed, and some fluid was present in the pericardial cavity (Figure 2C). A peripheral blood smear was performed on the patient. The findings revealed that the white blood cell classification ratio and morphology were predominantly standard. There was variation in the size of red blood cells. Platelet distribution appeared satisfactory, and no blood parasites were observed (Supplementary Figure S2). The bone marrow puncture revealed significantly active proliferation of bone marrow nucleated cells, accompanied by erythrocyte hyperplasia and erythrocyte phagocytosis (Figure 3A). Most of the cells were granulomatous macrophages, and scattered platelet phagocytosis was also observed (Figure 3B). Granulocyte hyperplasia was characterized by immature neutrophils and band-shaped neutrophils (Figure 3C). 
Figure 2. (A) Representative CT images of interlobular septal thickening at chest CT scan of both upper lungs. (B) Bilateral pleural effusions in the lower lungs. (C) The mediastinal window of the chest CT reveals a small amount of pericardial effusion 
The patient presented with a diagnosis of HLH and multiple organ dysfunction syndrome (MODS), as he fulfilled seven out of the eight diagnostic criteria for HLH-2004 (6). These criteria include fever, peripheral blood cytopenia affecting at least three lineages, hypertriglyceridemia, the presence of hemophagocytic cells in the bone marrow without malignancy, decreased natural killer (NK) cell activity, hyperferritinemia, and CD25 levels above 2,400 U/ml. Furthermore, PMseq-DNA test results indicated the presence of septic shock caused by Rickettsia infection, a secondary complication of multiple organ dysfunction. Treatment consisted of fluid rehydration, blood transfusion, combination therapy with meropenem and minocycline, anti-inflammatory therapy with methylprednisolone sodium succinate, several sessions of renal replacement therapy (CRRT), and other supportive measures. The patient's condition improved over time, with the resolution of fever, and ultimately, he was discharged from the hospital.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</si>
  <si>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In a 20-year-old female patient, during the extraction of the left upper first molar under local anesthesia, the procedure was discontinued due to the onset of marked swelling and redness around the eyes, ED setting 
The patient went to the ophthalmologist complaining of increasing swelling and pain around the eyes 6 hours later. 
The best visual acuity in both eyes was logMAR 0.0 on assessment. During the slit-lamp examination, there was periorbital swelling in the left eye, free eye movement, and light responsiveness. The right eye naturally followed. The bilateral optic nerve was normal on fundus examination. Crepitation was noticed on palpation in the left periorbital area. A quick examination of airway obstruction was performed [Fig. 1]. Orbita computed tomography (CT) revealed diffuse air in the left orbital soft tissue [Fig. 2]. Antibiotics derived from penicillin and nonsteroidal anti-inflammatory drugs were prescribed as preventative measures. The light reaction was continuously monitored. The edema around the eyes subsided 24 hours after the operation and disappeared completely after 7 days [Fig. 3].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</si>
  <si>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An 82-year-old man, presented to the ED, on February 2018, after sudden onset of left hemiparesis and vertigo. 
 Symptoms started during a period of greater physical effort, upon participation in a zumba class. His past medical history included transient episodes of vertigo during exercise in the previous months, an anterior circulation right hemispheric stroke in 2015, that left no sequels, and hypertension controlled with a combination of 10 mg lisinopril and 2.5 mg amlodipine. The neurologic examination revealed mild left hemiparesis with facial involvement and crural predominance, vertical nystagmus, right internuclear ophthalmoplegia, dysarthria and dysmetria on the left arm. The total National Institutes of Health Stroke Scale (NIHSS) score was 6. 
The plain brain CT scan was normal and a CT angiography showed hypoplasia of both vertebral arteries, the left terminating as the PICA, while the right gave origin to the BA. The BA had a filiform aspect in its proximal two thirds, having a normal caliber in the distal remaining third, after receiving a communicating artery from the cavernous segment of the left internal carotid artery, a PTA (Fig. 2). No abrupt stop of flow was identified. Echocardiogram showed severe dilation of the left auricle, as well as mild dilation of the right auricle and a 35 mm dilation of the proximal portion of the ascending aorta. Electrocardiogram was normal and a 48 h cardiac telemetry monitoring didn’t show any periods of arrhythmia. Lipid profile showed borderline high low density lipoprotein level, at 139 mg/dL. 
The patient underwent treatment with recombinant tissue plasminogen activator (rt-PA) at two hours of symptom onset, this decision was based on the clinical presentation and in the absence of hemorrhage in the CT scan. Shortly after treatment the NIHSS score was 2, maintaining a slight paresis of the left leg and dysmetria on the left arm. Months later, the patient showed no neurologic sequelae. 
– Schematic representation of the vertebrobasilar system, a) without PTA, b) with Saltazman type 1 PTA, showing BA hypoplasia proximal to the PTA, c) with Saltazman type 2 PTA, showing the PCAs predominantly supplied by the PcoA. BA – basilar artery, ICA – internal carotid artery, PCA – posterior cerebral artery, PcoA – posterior communicating artery, PTA – persistent trigeminal artery, VA – vertebral artery 
– Head CT scan showing the PTA, a) volume rendering technique showing PTA anastomosing the left ICA with de the terminal portion of the BA, b) arrow indicating PTA originating from the left ICA, c) arrow showing hypoplastic BA proximal to the anastomosis. IC – internal carotid artery, T – trigeminal artery, B – basilar artery, P – posterior cerebral artery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</si>
  <si>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A 16-year-old girl, who had been diagnosed with ulcerative colitis (UC) 2 years earlier at a general hospital, recently had several flares of UC despite treatment with azathioprine, mesalamine, and several tapering courses of corticosteroids, ED setting 
She was referred to our University Hospital for a second opinion with respect to a possible step-up to anti-TNF therapy. In the week prior to colonoscopy the patient developed painful purpura on the lower leg (causing an antalgic gait) and dorsal trunk. One day prior to the planned colonoscopy she was admitted to our hospital with progressive abdominal pain and frequent bloody diarrhea. Some of the purpura had faded while new ones had appeared (Figure 1A). Peripheral blood analysis revealed increased C-reactive protein (CRP 71 mg/L; normal range &lt;5 mg/L) and erythrocyte sedimentation rate (71 mm/h; normal range &lt;20 mm/h). Coagulation tests, creatinine, aspartate aminotransferase, alanine aminotransferase and gamma-glutamyl transferase were within normal limits. Fecal calprotectin was 4,010 μg/g (target range &lt;150 μg/g). Urinalysis was normal. 
An external file that holds a picture, illustration, etc.
Object name is fped-09-617312-g0001.jpg 
Figure 1 
Purpura. (A) Purpura located on the lower back. (B) Purpura with blistering located on the dorsal side of the right foot. 
That night the girl woke up with excruciating right temporal headache similar to the pain she experienced a week before at the site of the purpura. The headache was accompanied by frontotemporal swelling. A cranial MRI was performed, which showed diffuse subcutaneous edema without intracranial pathology (Figure 2). 
An external file that holds a picture, illustration, etc.
Object name is fped-09-617312-g0002.jpg 
Figure 2 
Cranial MRI showing diffuse subcutaneous edema (indicated by arrows). 
The next day, colonoscopic examination showed continuous inflammation in the left transverse (Figure 3A), descending and sigmoid colon with rectal sparing, suggestive of active UC. In the ascending colon three atypical ulcerations were seen (Figure 3B). Histological examination of these ulcerations showed necrosis of the mucosa and submucosa with thrombosis and perivascular infiltrates with neutrophils and nuclear debris, consistent with leukocytoclastic vasculitis. There were no granulomatous changes or immune deposits. Biopsies of the terminal ileum, cecum, right transverse colon and rectum showed no abnormalities. The descending and sigmoid colon showed a histological pattern of chronic inflammation defined by crypt architectural distortion and basal lymphoplasmacytosis. A punch biopsy from the skin of the left lower leg, obtained during the colonoscopic session, showed perivascular infiltrates with neutrophils in the dermis, with affected vessel walls and extravasation of erythrocytes, and was also consistent with leukocytoclastic vasculitis. Immunofluorescence was negative. Serum perinuclear (p)-ANCA was positive (titer &gt;1:640) without antiprotease- or myeloperoxidase antibodies. Rheumatoid factor, anticardiolipin antibodies, cryoglobulins and antinuclear antibodies were negative. Neither did we find antibodies against hepatitis A and B virus, cytomegalovirus and Epstein-Barr virus. Chest X-ray was normal. 
An external file that holds a picture, illustration, etc.
Object name is fped-09-617312-g0003.jpg 
Figure 3 
Findings during colonoscopic evaluation. (A)Inflammation of the transverse colon, including erythema, a granular appearance, friability and loss of the normal fine vascular pattern. (B) Ulcerations located in the ascending colon. (C)Healed ascending colon after 5 weeks of chemotherapy. 
It was reasoned that the increased serological and fecal markers of inflammation and leukocytoclastic vasculitis were manifestations of active UC, and that these symptoms would subside upon reaching remission. Positivity for p-ANCA is observed in the majority of cases of UC and was interpreted as an immune response associated with the disease process itself. Intravenous administration of infliximab 5 mg/kg was planned with three induction doses over 6 weeks (week 0-2-6), followed by maintenance therapy every 8 weeks. Azathioprine and mesalamine maintenance therapy was continued. 
The frontotemporal subcutaneous edema resolved, but after the second infliximab administration fever appeared, CRP gradually rose to 230 mg/L, the purpura progressed to purple blisters (Figure 1B) and the patient developed a progressive paralysis of the right lower leg, resulting in a complete foot drop. Neurological examination revealed absence of the Achilles stretch reflex and plantar reflex on the right side, and sensory disturbances on the right foot and left hand. Electromyography showed active axonal damage of the left median nerve and the right peroneal and tibial nerve (i.e., multiple peripheral mononeuropathy). Spinal MRI was normal. 
The multitude of clinical signs (blistering purpura, mononeuritis multiplex, fever and involvement of the gastro-intestinal tract), in combination with histopathology (leukocytoclastic vasculitis without immune deposits) and immunological findings (p-ANCA positivity and high CRP), made us reconsider our initial frame of mind. We ascertained the diagnosis as ANCA-associated vasculitis (subclassified as microscopic polyangiitis), with damage of the small blood vessels in skin, colon and peripheral nerves. Because of the severe presentation, induction therapy was started consisting of high-dose intravenous prednisolone (60 mg/day) and intravenous cyclophosphamide (15 mg/kg at week 0-2-4, followed by once every 3 weeks until 3 months of stable remission). Infliximab and azathioprine were discontinued. As a result, UC treatment was de-escalated to mesalamine monotherapy (Figure 4). 
An external file that holds a picture, illustration, etc.
Object name is fped-09-617312-g0004.jpg 
Figure 4 
Timeline showing disease intensity per organ and medication. The black triangles mark the infusions. PUCAI, Pediatric Ulcerative Colitis Activity Index; FC, Fecal calprotectin. 
Remission of cutaneous and colonic vasculitis (Figure 3C) and normalization of CRP were achieved after 5 weeks of chemotherapy. Prednisolone was tapered and stopped after 4 months and cyclophosphamide was discontinued after seven infusions. Infliximab was re-introduced with three induction doses (5 mg/kg) over 6 weeks, after which fecal calprotectin had declined to the target range (77 μg/g). Before the fourth infusion we measured a suboptimal infliximab trough level and consequently escalated to 10 mg/kg every 8 weeks. All subsequent trough levels were in range (i.e., ≥5 μg/ml). Oral methotrexate 20 mg once weekly was started to reduce the risk for recurrence of vasculitis. Biochemical and clinical remission of both ANCA-associated vasculitis and ulcerative colitis have been maintained successfully for over 2 years now, with persistent normal CRP and fecal calprotectin levels. Neurological sequelae including a partial foot drop (necessitating the use of an orthosis) and neuropathic pain remain.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</si>
  <si>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16-year-old, previously healthy female initially presented to her pediatrician with a chief complaint of syncope.  
The onset of illness started 6 days prior with the symptoms of malaise, fever, and fatigue, later progressing to include chest pain and shortness of breath. She had a presyncopal episode with dizziness, vision changes, and sweating, and later had a true syncopal episode, chipping her tooth upon collapse, but awakening within seconds. After an immediate visit with her primary care physician, she was transferred urgently to our emergency department (ED). 
On presentation to the ED, Her vital signs were afebrile with a blood pressure of 93/72 mmHg, pulse rate of 90s–100 beats per minute, respiratory rate of 16, and oxygen saturation of 100% on room air. Her physical examination showed a well-developed, well-nourished female in no distress aside from mild pain from her fall, with no apparent head/facial bruising. She was tachycardic with normal heart sounds and no murmurs, with lungs that were clear to auscultation bilaterally and an abdominal examination demonstrating no hepatosplenomegaly. An ECG showed normal sinus rhythm with low-voltage QRS complexes and T-wave inversions in inferior and anterior leads [Figure 1]. Laboratory evaluation revealed normal electrolytes, complete blood counts, and inflammatory markers, including her erythrocyte sedimentation rate and C-reactive protein. Transthoracic echocardiogram (TTE) showed mildly depressed left ventricular (LV) function with an ejection fraction (EF) of approximately 50%, a small pericardial effusion, and striking moderate-to-severe concentric LV hypertrophy (LVH) with a LV diastolic septal and posterior wall thickness of 1.4 cm [Figure 2a] without outflow tract obstruction. Differential diagnosis at the time included hypertrophic cardiomyopathy (HCM) with dysfunction, HCM with arrhythmia, and myocarditis, and she was admitted for close monitoring, including telemetry, and to follow serial troponins. After admission, her initial troponin I resulted at 0.977 ng/mL (laboratory index for upper limits of normal &lt;0.029 ng/mL). 
On hospital day 1, she developed fluid refractory hypotension, sinus tachycardia, and tachypnea. She was transferred to the cardiac intensive care unit for vasopressor support including dopamine and milrinone as we had progressive concern for both myocarditis and likely viral sepsis. A variety of viral polymerase chain reactions were obtained including human herpesvirus-6, Epstein–Barr virus, enterovirus, parvovirus B19, adenovirus, and influenza. She was found to be influenza A positive and was subsequently started on peramivir. On hospital day 2, a repeat echocardiogram showed an increased pericardial effusion, and there was concern for tamponade physiology; pericardiocentesis was performed with pericardial drain placement. She also started having increased respiratory effort with hypoxemia and eventually was started on biphasic positive airway pressure for respiratory support. She was given a dose of 2 g/kg of intravenous immunoglobulin. From this point, she gradually improved and by hospital day 5, was weaned from intravenous infusions and supplemental oxygen. A repeat TTE demonstrated increased EF of &gt;70% and persistent concentric LVH. On hospital day 7, all of her symptoms had resolved, and TTE revealed resolving LVH (LV diastolic septal and posterior wall dimensions of 1.2 cm) upon discharge. At her 4-month follow-up appointment, she had a cMRI which showed normal biventricular chamber sizes and biventricular systolic function, normal LV mass with no LVH, nor evidence of late gadolinium enhancement, corresponding to her echocardiogram at the same time demonstrating resolution of LVH [Figure 2b]. 
F1-11Figure 1: Admission electrocardiogram with normal sinus rhythm, low-voltage QRS complexes, and anteroinferior T-wave inversions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</si>
  <si>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The patient was a 53-year-old Caucasian male with a history of alcohol abuse, hypothyroidism not on medications, and hypertension who presented to the ED with abdominal pain, headaches, and altered mental status with a Glasgow Coma Score (GCS) of 3. 
 The patient was admitted for myxedema coma requiring intubation for airway protection. The patient stayed at the hospital for a total of 43 days, which included 31 days in the ICU, with three separate times being intubated. The patient was found to have abdominal compartment syndrome requiring decompressive laparotomy. Biopsy from the exploratory laparotomy showed fibrous obliteration of the appendiceal lumen with focal noncaseating granuloma formation, leading to an appendectomy. 
Regarding this case study, the important part of the hospital course is that after being transferred to the internal medicine ward on Day 28, he continued to have a rising white blood cell (WBC) count. The laboratory work is tabulated in Table 1. 
The patient was afebrile with no specific signs of pain. The patient was very agitated throughout the day. The patient had a rectal tube and a urinary condom catheter. The patient produced adequate urine and stools daily, but the stool from the rectal tube appeared loose. The initial concern was antibiotic-associated diarrhea and the antibiotics were stopped, as he had completed the course. The patient received nutrition via nasogastric tube due to the high risk of aspiration pneumonia. Based on leukocytosis, diarrhea, and the patient’s extended stay in the hospital, C. diff. infection was suspected and oral vancomycin was started. Stool culture results showed no C. diff. growth but was positive for P. aeruginosa (&gt;100,00 cfu/ml). Further sensitivity analysis showed that the bacteria were susceptible to ciprofloxacin, gentamicin, meropenem, and tobramycin. The patient was started on ciprofloxacin 750 mg twice a day for seven days. Given the patient’s risk factors, C. diff. was ruled out twice through toxin polymerase chain reaction (PCR). Patient electrolyte disruption was treated with fluid correction and firm nutrition control. The patient slowly advanced to a soft diet, displayed less agitation, and regained strength. Loose stool resolved, and he began to make formed stools. The patient was then discharged to a nursing care facility to complete his recovery. 
Go to: 
Discussion 
Table 1 
Laboratory workup on day 28 when the patient had diarrhea symptoms 
Test 
Value  
Normal range 
WBC 
14.3 x10^3/mcL 
4.5-11 x10^3/mcL 
Hemoglobin 
10.5 g/dL  
13.2-17.4 g/dL 
Sodium  
147 mmol/L 
136-145 mmol/L 
Chloride 
124 mmol/L  
98-107 mmol/L 
Bicarbonate 
13 mmol/L  
21-34 mmol/L 
Blood urea nitrogen 
58 mg/dL 
7-18 mg/dL 
Creatinine 
2.29 mg/dL 
0.67-1.17 mg/dL 
Magnesium 
2.6 mg/dL 
1.8-2.4 mg/dL 
Phosphorus 
6.5 mg/dL 
2.5-4.9 mg/dL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</si>
  <si>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A 54-year-old man with 40-pack-year smoking history presented in the emergency department with chest pain. The pain was sudden in onset, persistent with mid sternum location and radiating to his neck, upper arms and back. He had a productive cough with increasing amount of blood tinged sputum and intermittent wheezing over 3 weeks. He also had a pleuritic chest pain with a cough. The patient has known a diagnosis of COPD, Global Initiative for Chronic Obstructive Lung Disease (GOLD) stage II airflow limitation with forced expiratory volume in 1 s (FEV1) of 2.56 L, 70% of the predicted value and moderate diffusion impairment. There was no history of recent COPD exacerbation or dyspnoea on exertion. The patient did develop progressive shortness of breath with haemoptysis and noticed to have night sweats. However, there were no other infectious symptoms including fever, rigours, chills or recent weight loss. He denied illicit drug usage, tuberculosis exposure, and recent travel or incarceration. He reported negative HIV and purified protein derivative (PPD) skin testing. His medical history also includes hypertension, peripheral vascular disease and chronic kidney disease.
On examination in the emergency department, the patient was afebrile though tachycardiac. Heart rate was 107 beats per minute, blood pressure 119/68 mm Hg and the respiratory rate was increased to 20 breaths per minute with the oxygen saturation of 96% while breathing ambient air. Auscultation of the chest revealed diminished breath sounds at the right lung with mild expiratory wheezing. The remainder of the physical examination was unremarkable. Chest radiograph showed right upper lobe bullae with adjacent opacification and emphysematous lung (figure 1). Additional laboratory workup revealed mild leucocytosis with white blood cell count of 14 400/μL, mild anaemia with haemoglobin of 11.9 g/dL but normal platelet count 268×103/μL. Coagulation profile including prothrombin time (PT) and partial thromboplastin time (PTT) was within normal limits. Serial troponins were in normal range and the ECG did not reveal acute ST-T changes. Infectious workup including sputum culture and respiratory viral panel was requested. Due to worsening haemoptysis and persistent chest pain, CT of the chest with contrast was performed. The CT chest revealed moderate to severe paraseptal emphysema predominant in the upper lobe. There were non-enhancing soft tissue opacities in paraseptal bullae without air-fluid levels, along with adjacent ground-glass opacities in right upper lobe. Hounsfield unit (HU) of the soft tissue densities was ranging from 50 to 70 consistent with haemorrhage or blood clots. There was no filling defect in the pulmonary arteries and no radiological evidence of endobronchial lesions was observed (figure 2). The patient received empirical antibiotics with azithromycin and ceftriaxone with oral prednisone with the presumed diagnosis of pneumonia and acute COPD exacerbation. Due to worsening haemoptysis on presentation, bronchoscopy was planned. However no recurrent haemoptysis was noticed after the treatment, so airway surveillance was deferred. Further diagnostic workups for invasive fungal infections, mycobacterium disease and vasculitis were performed including acid fast bacilli, serum galactomannan, antineutrophil antibodies (ANA) and antineutrophilic cytoplasmatic antibodies (ANCA), which were all negative. The urine sample for 23 valent pneumococcal antigen was positive, but this was attributed to the 23 valent pneumococcal polysaccaride vaccine administered at hospital admission. The patient improved clinically with no recurrent haemoptysis or chest pain.
Fig 1 Hyperinflated lungs consistent with COPD. Confluent airspace opacity at the right upper lung with no pleural effusion or pneumothorax.
Fig 2 CT images of the patient were obtained in February (A1–A3), March (B1–B3) and July 2016 (C1–C3). (A1–A3) Axial sections showing moderate to severe emphysema, primarily paraseptal, with a lesser centrilobular component. There are numerous non-enhancing soft tissue opacities in upper lobe paraseptal bullae. (A2) Confluent ground glass opacities in the adjacent relatively normal lung adjacent to the bullae affected by the described soft tissue opacities. (B1–B3) Axial sections showing a marked improvement of the soft tissue opacities within paraseptal bullae in size and number. The confluent ground glass opacities noted in A2 have near completely resolved. No new or progressive finding. (C1–C3) The soft tissue opacities within paraseptal bullae in A1 and B1 continue to improve. No ground glass opacities, No new or progressive finding.
Subsequent CT scan of the chest 5 weeks after discharge revealed no new pulmonary opacities and prior soft tissue opacities within paraseptal bullae had markedly improved in numbers and sizes (figure 2). Clinically, the patient was asymptomatic with improved dyspnoea, without weight loss or night sweats. He denied a cough or recurrent haemoptysis. Follow-up CT scan 3 months later demonstrated further improvement of the multiple soft tissue opacities within the paraseptal bullae (figure 2). The patient quitted smoking and remained asymptomatic at 6-month follow-up visit.
The patient had ongoing symptoms for 3 weeks with haemoptysis, night sweats and further developed acute chest pain. The initial chest radiograph was consistent with large bullae with adjacent airspace disease supporting the diagnosis of underlying pulmonary infection and exacerbation of COPD. However, with acute chest pain and worsening haemoptysis, vascular involvement including aortic dissection, pulmonary vascular occlusion or possible vasculitis needed to be evaluated. Pneumothorax remained in differentials as well. By CT scan of the chest major vascular involvement and pneumothorax could be excluded. It was further helpful in evaluating the pathogenesis of the numerous soft tissue densities by measuring Hounsfield units, which suggested intrabullous haemorrhage. However, it was initially difficult to exclude the presence of concurrent invasive fungal disease, mycobacterial infection or inflammatory processes including vasculitis. The unilateral location of cystic lesions filled with the pretentious material as observed in our patient is not characteristic of a vasculitis such as granulomatosis with polyangiitis (GPA: formerly called Wegener’s granulomatosis) which usually occurs bilaterally.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</si>
  <si>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45-year-old woman, normal weight (BMI 24.1 kg/m2), suffering from chronic migraine without aura. She had a regular menstrual cycle and was not taking hormones.
She taked galcanezumab (120 mg monthly), which was able to significantly reduce the frequency of migraines. She reported a decrease in libido after starting treatment. She also reported gaining four kilograms in nine months without changing her lifestyle.
After taking galcanezumab for nearly eleven months, she decided to stop treatment, believing that the relief from migraine symptoms was not worth the side effects of weight gain and loss of libido.
After stopping galcanezumab, she noticed an improvement in her libido over the next two months. According to the authors, no significant changes in the woman's personal situation that could influence her libido were noted, with the exception of starting treatment with galcanezumab.
The patietn did not present disorders such as dyspareunia, vaginismus, anorgasmia, or a phobic aversion to physical-sexual contact or symptoms of (peri)menopause, the authors interpreted the cases presented as “sexual arousal disorder”.
According to the authors, the genesis of this malaise is attributable to the peripheral consequences of CGRP blockade rather than to central effects. In their opinion, a direct central effect of the antibodies was unlikely, as, due to their size, they were unlikely to cross the blood-brain barrier in significant quantities.
The exact role of CGRP in sexual arousal has not yet been fully clarified, Linda Al-Hassany and colleagues report. However, immunohistochemical tests on human clitoral tissues have shown that the peptide is present, especially in the sensory C fibers and in colocalization with substance P. The peptide appears to be involved in the physiology of the clitoris by exerting sensory and vasodilatory effects, similar to those exerted on the penis.
Additionally, CGRP acts as a neurotransmitter in the vagina, where it regulates blood flow and capillary permeability. Consequently, blocking the effects of CGRP with antibodies could lead to a reduced genital response, including decreased vaginal lubrication.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</si>
  <si>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51-year-old policeman consults his general practitioner (GP) with a painful, red spot on his upper limb. He is not ill, has no fever, has never smoked, uses a couple of beers each day and is known with hypertension, for which he is treated with atenolol ZOC 100 mg once daily. With a length of 1.86 meters and a bodyweight of 98 kilograms he is slightly over weighted.
The spot is there for a few days and looks like an oval shaped raised erythema. His GP diagnoses a superficial thrombophlebitis and prescribes conservative treatment: elevation of the leg and compresses. Within a few weeks the string disappears. Two years later the story repeats itself in exactly the same manner, but now the spot is located on the front of his left tibia. The GP again diagnoses superficial thrombophlebitis and prescribes a NSAID. The thromboflebitis again resolves itself in a few weeks.
A year later he consults again, this time with a swollen left calf, that started just above the ankle and a painful string at the inner side of the knee. Compression ultrasonography however shows no deep vein thrombosis, but again superficial thrombophlebitis. Treatment as before with NSAID. A year later he experiences a superficial thrombophlebitis for the fourth time (again diagnosed with compression ultrasonography) and a consulted specialist advocates screening on thrombophilia and possible malignancy. No thrombophilia is found, but PSA is slightly raised and because of a raised gamma-GT (123 U/l, which a month later spontaneously recovers to 63 U/l) a CT-scan of the abdomen is made. This reveals a solid mass in the left kidney and a solid mass in the suprarenal gland.
A partial nephrectomy and extirpation of the suprarenal gland is performed and biopsies of his prostate are taken. The pathologist diagnosis a renal cell carcinoma of the kidney, clear cell type with a diameter of 4.3 cm, Fuhrmann grade 111-IV, an adenoma of the adrenal cortex and adenocarcinoma of the prostate, Gleason score 6.
The patient recovers of the operation, distant metastases were not found. He is treated with prostatectomia for his prostate carcinoma. A year after the first operation a metastasis of the renal cell carcinoma is found in the right suprarenal gland, which is treated by extirpation. During the two years form his first to his third operation he suffered from deep venous thrombosis twice. Now, three years after the operation he has resumed working.
Retrospectively the renal mass was visible on a scan, made in 2001 because of his hypertension, that was difficult to treat at that time. This renal mass however was not noticed at that time.
Unprovoked superficial thrombophlebitis not only carries an increased risk for developing deep vein thrombosis but it might also carry a risk for malignancy. Although empirical evidence for the association between superficial thrombophlebitis and malignancy still has to be established especially with recurrent disease doctors have to be on their guard and it might be worthwhile to screen patients with (recurrent) superficial unprovoked thrombophlebitis for malignancy.
</t>
  </si>
  <si>
    <t>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An 85-year old man was referred to the cardiac arrhythmia service for an implantable loop recorder to exclude arrhythmia as a cause of recurrent syncope. The patient had previously been seen in consultation regarding syncope by a general cardiologist, with no definitive diagnosis made. The patient’s past medical history included a history of PD with cognitive impairment and labile hypertension. He had no prior history of coronary artery disease or cardiac arrhythmias. His only medication was levodopa/carbidopa.
Previous attempts at characterizing the patient’s syncope had been limited by his cognitive impairment. However, a second history was taken in conjunction with the patient’s family. Based on the family’s recollection, the patient’s syncope would only occur while standing. However, the timing between standing and his events were variable, often occurring after several minutes of standing. The presence of symptoms prior to events were unclear, but the family reported they could often tell before he was about to faint based on his appearance. The syncopal events were brief, typically lasting several seconds with rapid return of consciousness. The syncopal events were gradually increasing in frequency, and now occurred several times per day. Previous investigations, including a 24-h Holter monitor and echocardiogram, were unremarkable.
Given this history, there was a high clinical suspicion for nOH. Orthostatic vital signs were assessed, revealing a supine blood pressure of 150/80 mmHg and a heart rate of 70 b.p.m. After standing for 5 min, the patient’s heart rate was still 70 b.p.m., but the blood pressure dropped to 90/50 mmHg. Although the patient did not report any symptoms, family members reported that the patient ‘looked like he was about to faint’. Cardiovascular autonomic function testing was performed, which confirmed significant autonomic nervous system failure, including a marked hypotensive response on tilt-table testing and a lack of vasoconstriction during Valsalva manoeuvre, which are shown in Figures 1 and ​22. Overall, the clinical presentation was characteristic of nOH [blood pressure drop of &gt;20/10 mmHg (or &gt;30/15 mmHg with baseline supine hypertension) with only a minimal or absent increase in heart rate].5
Tilt-table results. (A) Normal. (B) Patient’s response. The patient had supine hypertension with an initial systolic blood pressure of 190 mmHg. Following the head-up-tilt to 80°, there was progressive hypotension without significant heart rate response. The patient’s haemodynamics recovered shortly after reversing the tilt.
An external file that holds a picture, illustration, etc.
Object name is ytz031f2.jpgFigure 2
Valsalva results. (A) Normal. (B) Patient’s response. During the strain phase of the Valsalva manoeuvre, there were significant drops in systolic and diastolic blood pressure with no significant change in heart rate.
Although levodopa may be contributing to the patient’s hypotension, it was required to manage his PD. Therefore, the patient was given a prescription for midodrine 5 mg PO q4H ×3 (with nominal dosing times of 8 a.m., noon, and 4 p.m.). The patient’s family was directed to give midodrine prior to the patient’s typical active periods to avoid exacerbating his supine hypertension. Additionally, the family was advised that they should help the patient to a supine position when he appeared similar to the event which was reproduced in clinic. This resulted in a subjective decrease in the frequency of syncope during follow-up.</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</si>
  <si>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A 22-year-old male with no significant past medical history is brought to the emergency department for syncope. He was getting a haircut when he fainted. Medics say that on arrival his blood pressure was in the 60s and his heart rate was in the low 30s. The patient states that he has fainted many times in the past, but never before saw a doctor for the events. He denies palpitations, chest pain, SOB, fever, cough or other complaints.
Exam:  Vital signs were normal except for a pulse of 48.  Exam is otherwise normal.
Labs and orthostatics were normal. The patient stated he would not have come to the ED if this had happened at home. After probing further, doctors learned that the syncope occurred while the barber was shaving the man's neck and as a result, the man is diagnosed with carotid sinus hypersensitivity. He is most likely at higher risk for this condition due to the baseline bradycardia.
DISCUSSION
Carotid sinus syndrome (CSS) is a rare condition characterized by recurrent syncope with physical stimulation of the carotid baroreceptor located at the bifurcation of the internal and external carotid artery usually while shaving the upper neck. Stimulation of the baroreceptor triggers bradycardia, which when severe enough can lead to syncope and collapse. The physical exam is typically normal, but a baseline bradycardia may be present.
Evaluation for suspected CSS should include the usual testing for syncope such as orthostatic vital signs an EKG and possibly a complete blood count. Cardiac enzymes can be added in patients at risk for coronary disease.  Reproduction of symptoms by carotid sinus massage can confirm the diagnosis when bradycardia and/or hypotension also occur, but prior to attempting this maneuver confirm that no contraindications are present.
Treatment of CSS can be as simple as avoiding triggers and eliminating medications that predispose to bradycardia or hypotension.  In refractory cases permanent pacemaker placement can be considered. </t>
  </si>
  <si>
    <t>Neurocysticercosis</t>
  </si>
  <si>
    <t>wrong</t>
  </si>
  <si>
    <t xml:space="preserve">Stage IV Lung Adenocarcinoma with Complications
</t>
  </si>
  <si>
    <t>Retroperitoneal Abscess due to Perforated Appendicitis</t>
  </si>
  <si>
    <t xml:space="preserve">Septic Arthritis with Likely Avascular Necrosis of the Right Femoral Head
</t>
  </si>
  <si>
    <t>correct</t>
  </si>
  <si>
    <t>Septic Shock Secondary to Soft Tissue Infection (Possibly Cellulitis or Abscess) with Hematologic Complications</t>
  </si>
  <si>
    <t>Salmonella Mycotic Aneurysm with Paraaortic Abscess</t>
  </si>
  <si>
    <t>Vasovagal Syncope (Neurally Mediated Syncope)</t>
  </si>
  <si>
    <t xml:space="preserve">Complicated Urinary Tract Infection (UTI) with Scrotal Abscess and Urethritis
</t>
  </si>
  <si>
    <t>MSSA Bacteremia with Septic Emboli and Complicated Infectious Process</t>
  </si>
  <si>
    <t>Hemophagocytic Lymphohistiocytosis (HLH) Secondary to Rickettsial Infection with Multiple Organ Dysfunction Syndrome (MODS)</t>
  </si>
  <si>
    <t>Orbital Cellulitis Secondary to Dental Infection</t>
  </si>
  <si>
    <t xml:space="preserve">Vertebrobasilar Stroke Due to Hypoplasia of Vertebral Arteries and Persistent Trigeminal Artery (PTA) Malformation
</t>
  </si>
  <si>
    <t>ANCA-Associated Vasculitis (Microscopic Polyangiitis) with Ulcerative Colitis</t>
  </si>
  <si>
    <t xml:space="preserve">Acute Viral Myocarditis Secondary to Influenza A Infection
</t>
  </si>
  <si>
    <t>Hospital-Acquired Pneumonia due to Pseudomonas aeruginosa with Myxedema Coma Complications</t>
  </si>
  <si>
    <t>Pulmonary Hemorrhage Secondary to Paraseptal Emphysema and COPD Exacerbation</t>
  </si>
  <si>
    <t>Sexual Arousal Disorder Secondary to Galcanezumab Treatment</t>
  </si>
  <si>
    <t>Renal Cell Carcinoma with Associated Recurrent Superficial Thrombophlebitis</t>
  </si>
  <si>
    <t>Neurogenic Orthostatic Hypotension (nOH)</t>
  </si>
  <si>
    <t xml:space="preserve">Carotid Sinus Hypersensitivity (Carotid Sinus Syndrome)
</t>
  </si>
  <si>
    <t>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Patient went to visit with his mother. The reason of the visit was weakness, coughing, mild fever, productive cough, vomit. The symptoms started with fever (BT 37.5°C), weakness, loss of concentration, dry cough. The cough was very intense and frequent (4-5 cough hit simultaneously). After few days the cough became productive and appeared vomit. The vomit characteristics were not associated to a gastric pathology or to meal, it was poor, sometimes he vomited only his saliva. The symptoms get worse at evening. There not sign of viral infection like wheezing or rhinorrhoea. The cough, in the first days dry, was associated to catarrh or yellow or white color. At auscultation, lung were free. Mild throat pain and swelling. Patient did not complete vaccine cicle</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</si>
  <si>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38-year-old female, Caucasian, overweight, non-alcoholic, non-smoker. Home visit: She has history of several hospital visits due to difficulty in breathing, persistent productive cough, easy fatigue, poor appetite, good urine output and with none of the visits with a mention of high blood pressure or blood sugar. She has been on several antibiotic uses on and off as treatment for pneumonia. There is no known family history of chronic diseases like hypertension, diabetes mellitus or autoimmune. She has no history of surgeries or blood transfusions. </t>
  </si>
  <si>
    <t>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70 years old male patient ex smoker presented in hospital with acute onset of high fever, rigors, productive cough, pleuritic chest pain, dyspnea, tachypnea, tachycardia, malaise, and fatigue. Patients appear ill and anxious. On physical examination, rales can be heard in lung auscultation, dullness to percussion, decreased brath sounds, decreseased tactile fremitus at the bases. Body temperature is 39° and his onset rapid with chills.</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</si>
  <si>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Male patient, 25 years old, for 3 days pain at urination. The penis is warm but there are no pathological findings. No pain at bladder palpation. After 3 days patient presents fever (body temperature 38°C), sense of warming, sickness, erytema at neck and chest. The erythema isn't hitching. Patient has a positive history of a stressful period and urinary retention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</si>
  <si>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A 75-year-old man presents after routine bloodwork revealed a leukocytosis with an absolute lymphocytosis and without monocytopenia. His past medical history is significant for diabetes, coronary artery disease, asthma, and hypertension. He has no surgical history except for routine colonoscopies and a recent angiogram. His current medications include metformin, sitagliptin, glipizide, lisinopril, amlodipine, aspirin, rosuvastatin, bisoprolol, and a corticosteroid inhaler. 
He has no history of smoking, alcohol use, or illicit drug use. He has a family history of diabetes and hypertension. He has no family history of cancer. The patient is retired but is able to carry out all activities of daily living without difficulty. 
Physical Examination and Workup 
The patient's initial vital signs are unremarkable. Physical examination findings include trace lower extremity edema as well as a 3/6 systolic murmur. No cervical, supraclavicular, axillary, or inguinal lymphadenopathy or organomegaly is noted. The patient reports that he is in his usual state of health. 
Initial laboratory studies are significant for a white blood cell (WBC) count of 16,200/mm3 (reference range, 4500-11,000/mm3) and an absolute lymphocyte count of 9072/mm3 (reference range, 1000-4800/mm3). These laboratory abnormalities are monitored intermittently over the course of the next year without significant change. During this period, the patient remains asymptomatic and in relatively good health otherwise. However, he subsequently begins to develop fatigue in addition to left upper quadrant pain, which prompts further workup. 
A peripheral blood smear shows atypical lymphocytes with abundant cytoplasm and hairlike projections. Flow cytometry examination reveals a clonal B-cell population that expresses bright CD11c, bright CD20, and lambda light chain but is negative for CD5, CD10, CD23, and CD25. A bone marrow biopsy is performed, and immunohistochemistry shows that the neoplastic cells are positive for CD20 and PAX5 (Figure 1A and 1B) and negative for CD5, CD10, cyclin D1, BCL-6, and CD123. Immunostaining for annexin-A1 is also negative. Flow cytometric analysis of the bone marrow aspirate detects an abnormal cell population that is larger and more granular than lymphocytes and expresses bright CD11c in addition to CD19, CD20, CD45, CD103, CD123 (dimly in a minor subset), and monotypic lambda light chain (Figure 1D). The abnormal cell population is negative for CD5, CD10, CD23, and CD25. 
Because of his worsening symptoms and lymphocytosis, in addition to marked splenomegaly revealed on imaging, the patient is treated with cladribine. Nine months later, he reports a recurrence of symptoms, and bloodwork shows persistent lymphocytosis. The patient is then treated with cladribine and rituximab and reports an improvement in symptoms. Laboratory values obtained 2 months after treatment show a WBC count of 6200/mm3. 
Unfortunately, his disease progresses within several weeks, and bloodwork reveals a WBC count of 52,800/mm3 and an absolute lymphocyte count of 48,570/mm3. A peripheral blood smear shows small- to medium-sized atypical lymphoid cells with cytoplasmic projections (Figure 1C). Flow cytometric analysis of the peripheral blood confirms relapse; however, functional imaging, laboratory studies, and pathologic examination fail to demonstrate transformation into a high-grade cancer. Next-generation sequencing of the patient's B cells unveils a MAP2K1 mutation but is negative for BRAF, IGHV, and downstream MEK/ERK mutations. 
In addition to a recurrence of prior symptoms, the patient reports worsening vision along with impairments of right eye adduction and left eye abduction. MRI of the brain shows bilateral variable-sized foci of cerebral hemorrhaging of various ages involving both cerebral hemispheres, the cerebellum, and the brainstem (Figure 2). Cerebrospinal fluid (CSF) collected by lumbar puncture is negative for infectious agents but is positive for atypical hairy lymphoid cells in a background of red blood cells.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</si>
  <si>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F patient, 32 yo, normal weight 
Q What is the problem? 
A I have genital hitting, burning, dysuria and continuous needing to pee 
Q Have you noticed spots in your sleep? 
A No 
Q When did it start? 
A 3 days ago, I've treated it with cream and antibiotic with poor results. 
Q Do you feel tired without energy? 
A Yes I feel tired 
Q have you got fever? 
A No 
Q Have you done unprotected sex recently? 
A Yes, the symptoms started 2 days after unprotected sex 
Q Is your diet healthy? 
A No 
Q Do you use medicine? 
A NSAID for headache 
Q Any relevant familiar medical condition? 
A No 
Vital sign: BP 129/77 mmHg, HR 82 bpm, SpO2 98%, BT 36.6° 
Patient alert, collaborative, oriented. Pain at bladder palpation.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</si>
  <si>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M patient, 68 yo, overweight weight smoker 
Q What is the problem? 
A I Have abdomen pain at right upper region. 
Q Since? 
A Since 2 months ago 
Q How is the pain? 
A It's mild and it is irradiating around. 
Q Have you got fever? 
A No 
Q Abuse of medicine or drugs? 
A No 
Q Accidental contamination with blood? 
A No 
Q Do you eat a lot of fatty food? 
A Yes, I don't have a healthy diet 
Q Do you have other diseases? 
A No 
Q Any relevant family medical conditions? 
A Yes my mother has Alzheimer's and my father died of a stroke 
Patient not very alert, collaborative, oriented. At palpation the liver is enlarged.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</si>
  <si>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A 71-year-old male obese smoker 
History of benign prostatic hyperplasia, nephrolithiasis, and coronary artery disease status/post coronary artery bypass graft. Right flank pain, followed by fever, chills, sickness, abdominal pain, and nausea. He took acetaminophen for pain. He denied dysuria, gross hematuria, prior urethral stricture, diarrhea, poor dentition, or alcohol use. He flosses daily and follows with his dentist regularly, with teeth cleaning 1 month prior to presentation. He denied recent sexual activity. Physical exam was positive for fever (38.0 degree Celsius), tachycardia, and diaphoresis. Capillary refill was normal.  
He was admitted to ED. Initial laboratory results showed mild leukocytosis, normocytic anemia, thrombocytopenia, acute kidney injury with creatinine 2.2, and estimated glomerular filtration rate 29. Urine showed microscopic hematuria and small leukocytes. Computed tomography abdomen/pelvis demonstrated moderate right hydronephrosis  and a 10 mm right ureteral stone and multiple nonobstructing left renal calculi.  
The patient was treated with aggressive intravenous (IV) fluid hydration and IV Ceftriaxone. Urology was consulted, and a right ureteral stent was placed. Due to unresolving sepsis, antibiotics were broadened to IV Vancomycin and Piperacillin/Tazobactam. Blood and urine cultures resulted positive for S. sanguinis. Infectious disease was consulted for treatment of his streptococcus bacteremia. Additional workup was negative for infectious endocarditis including a transesophageal echocardiogram. Antibiotics were de-escalated to IV ceftriaxone 2 g every 24 hours. The patient completed a 2-week course of IV ceftriaxone. Follow-up blood cultures remained negative, and his renal function normalized. The right stent was later exchanged with lithotripsy of the right renal calculus. 
The iliopsoas abscess was resolved by percutaneous drainage and medical treatment with ampicillin/sulbactam. There are few documented cases of iliopsoas abscess caused by urinary tract infections, which were primarily posturologic interventions and in association with ureteral stones. 
Patient was also found to have a right renal calculus and hydronephrosis which was likely the source of the S. sanguinis urinary sepsis. The medical literature has documented penicillin susceptibility for Streptococcus sanguinis to be 60%. Ceftriaxone and vancomycin susceptibility was shown to be 92% and 100%, respectively. The guidelines for infective endocarditis recommend penicillin G and ceftriaxone as 1st-line therapy for viridans streptoccus endocarditis.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</si>
  <si>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patient was a 78-year-old Male in ED setting from territorial medical guard and 118 Ambulance 
The son called me for home visit  
The patient complained of 24 hours' duration of pain, swelling and redness of his left dorsalis pedis. He had fever and was confused.  
His previous history included gastroenteritis after having shrimps with his wife. He also had gastroenteritis he was prescribed antibiotics but after initiating medication the patient became unconscious.  
His past medical history included bipolar disorder, multiple myeloma, osteoporosis, earlier pituitary tumor and development of frontotemporal dementia. 
On physical examination, his Glasgow Coma Score (GCS) was 3, BP 79/38mmHg, HR 115 beats/minute, SpO2 60%, RR 40 breaths/minute, BT 39 °C.  
In the ambulance he was treated with metaoxedrine, epinephrine, clemastine, oxygen and isotonic sodium chloride. Before entering ED he was awake and had GCS 9, BP 87/43mmHg, HR 110 beats/minute, SpO2 90%, RR 35 breaths/minute.  
He was treated with methylprednisolone, ciprofloxacin and meropenem. ABG pH 7.11, lactate 4.8mmol/L, PaO2 11.9, PaCO2 34, bicarbonate 17mmol/L and hemoglobin 4.2mmol/L.  
He went hypotensive again and developed a cardiac arrest. Cardiopulmonary resuscitation was performed, epinephrine was administered and return of spontaneous circulation was observed after 2 minutes. Sedation and intubation was performed and he was transferred to the Intensive Care Unit (ICU). A nurse observed diffuse redness on his left foot, high temperature, petechiae and pain. His right lower leg had petechiae too and minor edema. C-reactive protein (CRP) was 175mg/L, white blood cells 1.0×109/L, platelets 56×109/L and the treatment with meropenem and ciprofloxacin continued combined with metronidazole and fluconazole. 
A cardiac echo revealed ejection fraction &gt;55%, a minor mitral valve deficiency and a well-preserved left ventricle. Treatment with inotropic agents was initiated, using norepinephrine because of volume-resistant hypotension and decreased urine output. 
The next day an orthopedic surgeon assessed  suspicious of necrotizing fasciitis. On his left foot there was redness, bullae, cyanotic toes and there was no palpable pulse in the dorsalis pedis artery. Microscopic examination found Gram-negative bacteria after Gram-stained smears in all samples from the patient. The treatment with meropenem and metronidazole continued. His CRP was 284mg/L. 
The microbiology identified Vibrio metschnikovii in all his blood samples using matrix-assisted laser desorption/ionization time-of-flight mass spectrometry. It was suggested treatment with meropenem and piperacillin/tazobactam since the antibiotic susceptibility tests found the bacillus to be sensitive to these antibiotics. His CRP was 318mg/L. He went to surgery and wound necrosis was found on top of vital tissue.  
Treatment with ciprofloxacin was canceled and the next step was either treatment with vacuum-assisted closure (VAC) system or in worst case amputation. His CRP was 262mg/L. 
The following days his CRP decreased, this urine output increased and at that time the only antibiotic he was taking was piperacillin / tazobactam. The wound healing improved day by day, but he remained sleepy and needed mechanical ventilation. A tracheostomy was established 13 days after admission and he slowly improved during the following days of weaning from the ventilator. During this period he underwent surgical revision twice. 
Piperacillin/tazobactam was discontinued and the tracheostomy was replaced with an uncuffed tube as he now could manage spontaneous respiration. He was transferred from ICU to internal medicine department 20 days after admission to hospital. A VAC system was established on his left foot and split-skin transplantation was performed 5 weeks after admission to hospital. He was still in hospital 3 months after admission.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</si>
  <si>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F patient, 73 yo, ED setting, autonomous. She has hypercholesterolemia in therapy with statin. 
Patient came for abdominal pain, the pain is colic, she got 2 diarrhoea episode and 1 of vomit. 
Vital signs: BP 100/70 mmHg, HR 80 bpm, BT 36,6 °C, SpO2 99%. Patient has mild pain at palpation of right mid abdomen. She is anxious. No neurological sign.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</si>
  <si>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The 25-year old male caucasian patient suffered from an autoimmune lymphoproliferative disorder (ALPS) that was treated by splenectomy 24 months before this event. He had no previous episodes of severe infections. In March 2014, he developed malaise, chills and abdominal pain of sudden onset after heavy exercise, and contacted his nearest outpatient clinic. A routine check-up involving ECG, chest X-ray, blood pressure measurement and determination of O2-saturation showed no significant abnormalities. Blood results showed slightly elevated leukocyte counts with 11.3 G/L, normal red blood cell counts (4.78 T/L) and normal platelets with 294 G/L (see Table  Table1).1). The patient was sent home after transfusion of 1 L isotonic infusion solution and symptomatic therapy with metamizol and paracetamol.
Eight hours later, the general condition of the patient worsened rapidly and he had to be hospitalized because at that time he had already developed leukopenia (2.8 G/L), his platelet levels were low (108 G/L) and the serum creatinine was elevated (2.0 mg/dl). Hemostasis parameters were also altered (again depicted in Table  Table1).1). A rapid test for S. pneumoniae-antigen was positive and although antimicrobial therapy was started immediately, the patient developed hemodynamic problems (systolic RR: 50 mmHg) and had to be transferred to an intensive care unit (ICU). In spite of catecholaminergic therapy, fluid resuscitation and intubation, the organ dysfunction of the patient deteriorated and he developed severe septic shock with metabolic acidosis (lactate 15 mmol/L), anuric renal failure, overt disseminated intravascular coagulation (DIC) and fast spreading necrotic skin lesions, resembling purpura fulminans.
Thus, the patient received fibrinogen (Haemocomplettan®, CSL Behring) and prothrombincomplex (Beriplex®, CSL Behring) alongside clindamycin, linezolid and intravenous immunoglobulins (Pentaglobin®, Biotest Pharma GmbH) and was transferred to our intensive care unit at the Medical University of Vienna.
Upon admission, his hemodynamic and respiratory situation was stable. The metabolic acidosis, however, worsened: lactate levels increased to 18 mmol/L and signs of hepatic impairment were detectable with elevated transaminases and hypoglycemia. Moreover, creatine kinase (CK) levels were massively increased at 6678 U/L and myoglobin values were at 11,500 ng/mL. The skin lesions progressed, and confluent lesions spread over the whole face, both hands and both feet. Hemostasis parameters showed thrombocytopenia (33 G/L), a PT of 31%, an aPTT of &gt;180 s, fibrinogen values of 72 mg/dl and massively elevated D-Dimer levels (72.19 μg/ml), resembling septic coagulopathy with purpura fulminans. According to local and international recommendations, coagulation therapy with a plasma-derived protein C concentrate (Ceprotin®, Baxalta), was initiated. An initial bolus dose of 100 U/kg body weight was given, followed by 10 U/kg/h, aiming for plasma protein C activity values of 100 U/dL. Additional hemostatic therapy consisted of fibrinogen and platelet concentrates, antithrombin replacement (aiming for antithrombin levels of 100 U/dL), and low dose heparin infusion (250 U/kg BW/h). Moreover, extracorporeal renal replacement therapy had to be started because of acute renal failure.
Table  Table11 summarizes the blood parameters as well as clinical scores from the initial presentation at the outpatient clinic of the peripheral hospital until day 5 upon admission on our intensive care unit.
Under this treatment the patient could be successfully stabilized. Although CK and myoglobin values continued to increase during the next 3 days and the face and the limbs of the patient were impressively hypoperfused, there were no signs for a compartment syndrome, and no surgical intervention was necessary. After peaking at day 3 upon admission, CK values decreased within the next weeks until returning into the normal range after 4 weeks. In parallel, also the hemostaseologic parameters improved and the skin situation ameliorated.
The renal situation, however, remained unchanged and until week 4 no sufficient renal function could be established. Therefore, the patient was changed from continuous hemofiltration to intermittent hemodialysis, which was well tolerated. Creatinine levels were constantly high, peaking with 7.95 mg/dl.
After 27 days, the patient could be transferred from the intensive care unit to our infectiological ward, where he stayed for another 26 days. Within this stay and under forced fluid substitution, his creatinine levels returned almost into normal range (1.27 mg/dl); also the urine output increased, so renal replacement therapy could be stopped after 4 weeks upon admission. In following, renal function returned to normal. The local skin situation improved constantly, necrotic areas were surgically removed and healed decently.
The patient could be finally transferred to a rehabilitation center, from which he was discharged fully recovered.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</si>
  <si>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A 43 years old male, smoker, not known to have any significant medical illness came to our hospital with 2 days history of fever and altered sensorium and no other significant neurological history. The patient did not take COVID-19 vaccine and had no recent travel. 
On examination, he was found conscious but confused, not oriented, and not obeying to commands. Pupils were equal and reacting, fundus examination – normal, no focal neurological deficit, and no signs of meningeal irritation. He was mildly febrile, maintaining saturation of 96% on room air. His blood pressure was elevated − 172/109. Chest and cardiovascular examinations were unremarkable. Blood investigations showed normal WBC and lymphocyte count with normal renal and liver function tests, with negative toxicology screen and negative serology. 
Consequently, the patient was admitted as case of acute confusion state. To rule out meningoencephalitis, CT head without contrast was done and was normal. He was tested positive for COVID-19. The patient was started on acyclovir, antibiotics, and steroids. LP done showed normal biochemistry and HSV 1 and 2 serology negative. 
The next day, patient’s consciousness level deteriorated and had pupillary asymmetry with dilated and nonreactive right pupil. He was intubated and ventilated. Repeated CT brain showed no newly developed vascular insult during the time interval. Brain MRI with MRA was done and showed posterior circulation (AOP) stroke represented by bilateral medial thalamus and midbrain infarcts (shown in Fig. 1, 2) with nonvisualization of posterior cerebral artery. 
MRI DWI images showing infarcts in bilateral thalamus. 
The patient was started on antithrombotics. Acyclovir and steroids were stopped. He was on mechanical ventilator for more than 30 days and was gradually weaned off. The patient was discharged 2 months later and at the time of discharge he was conscious, oriented, pupils equal and reacting, extraocular movement full, and no focal neurological deficit. He was able to walk with support.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</si>
  <si>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42-year-old woman, overweight (BMI 29.1 kg/m2) who suffered from chronic migraine without aura and migraine with aura once every 1-2 months. 
She had a regular menstrual cycle and had been taking a progesterone-only contraceptive for 4-5 years.
With galcanezumab treatment (120 mg per month) for migraine management, she was able to achieve a significant reduction in migraine attacks. However, approximately 1 to 2 weeks after starting treatment, he experienced a loss of libido. Sexual arousal also disappeared completely. As a result, it became nearly impossible for her to experience an orgasm.
Since the patient was certain that the loss of libido was solely due to taking galcanezumab, she did not consult a psychologist or sexologist.
Although he experienced no further side effects with galcanezumab, he decided to switch to erenumab 140 mg every, again once a month. However, erenumab appeared to be less effective as the patient continued to experience daily headaches (triggered by exercise), despite not experiencing any improvement in libido.
</t>
  </si>
  <si>
    <t>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A 30-year-old man presented to the emergency department (ED) due to a syncopal episode with no prodrome, shortness of breath and weakness. He reported no medical conditions and no use of recreational drugs. Three weeks prior to the presentation, he had experienced an “insect bite” on his calf after being outside. A week later, he developed chills, sweats, myalgia, back pain, headache and fatigue. Blood pressure at the ED was within normal limits; and a pulse rate of 38 bpm was detected. No
Clinical course
The ECG on presentation depicted high degree AV block that rapidly evolved into 3rd degree AV block with a junctional escape rhythm at 38 bpm (Day 1, first and second panels). Due to hemodynamic instability, a temporary transvenous pacemaker was placed through the jugular vein (Day 1, third panel). The patient was admitted to the cardiac unit for monitoring and further management. Causes of conduction disturbance in the young were ruled out (normal biological markers). Because of the recent</t>
  </si>
  <si>
    <t>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53-year-old African American female who was brought to the emergency department (ED) with chief complaints of dizziness and lightheadedness since the morning of presentation associated with generalized weakness, fatigue, and shortness of breath a few days before presentation. She is a resident of a nursing home. Upon the arrival of emergency medical services at her nursing facility, her blood sugar was 34 mg/dL, and she was given dextrose. The patient was on metformin 850 mg twice a day for her diabetes mellitus. There was no recent change in medication dose or regimen, and she took the medication the previous night. She denied any chest pain, headache, blurry vision, syncope, new onset of weakness of any body part, abdominal pain, or nausea.
The patient has medical comorbidities of type II diabetes mellitus on metformin with the most recent hemoglobin A1c of 6.9%, hypertension, cerebrovascular accident, chronic kidney disease (CKD) stage 3a with baseline estimated glomerular filtration rate (eGFR) of 45 mL/minute/1.73 m2, and acquired thrombotic thrombocytopenic purpura on maintenance rituximab.
When she arrived in the ED, she was tachypneic and diaphoretic. Her initial vitals revealed a blood pressure of 109/52 mmHg, pulse of 121 bpm, respiratory rate of 25 breaths/minute, and saturating 98% on 2 Lnasal cannula. Her finger stick blood glucose was 91 mg/dL. She stated that her dizziness and lightheadedness have resolved. Systemic examination was significant for tachycardia, tachypnea, mild bilateral lower extremity edema, and weakness of the left side, residual from her previous stroke.
Her initial blood laboratory work was significant for severe acute kidney injury (AKI) with a creatinine of 6.6 mg/dL with a baseline of 1.4 mg/dL, eGFR of 8.51 mL/minute/1.73 m2, potassium of 6.7 mmol/L, and blood gas showing severe anion gap (AGAP) metabolic acidosis with a lactate of 20 mmol/L (Table ​(Table1).1). Other significant laboratory results include serum acetaminophen level of &lt;0.3 mg/dL (normal range: 3-10 mg/dL), hemoglobin A1c of 4.6%, insulin level of 9.7 uIU/mL (optimal: ≤19.6 uIU/mL), serum creatine kinase of 21 unit/L (normal range: 20-200 unit/L), and ethanol level of &lt;10 mg/dL. The intensive care unit (ICU) was consulted for severe AKI, hyperkalemia, and possible sepsis, and nephrology was consulted for emergent dialysis. The patient was started on broad-spectrum antibiotics, and immediate central venous access was obtained for hemodialysis. She received hemodialysis in the ED and was transferred to the ICU for further management. In the ICU, her AKI and other blood parameters improved and did not require further dialysis. The patient was later transferred to the medical floor.
Table 1
Abnormal blood test trend
Date	pH	HCO3 (mmol/L)	Creatinine (mg/dL)	Potassium (mmol/L)	AGAP (mmol/L)	Lactic acid (mmol/L)
5/10/21	7.14	6	6.6	6.7	42	20
5/10/21	7.27	11	5.9	4.9	37	12.1
5/11/21	7.42	20	4.1	4.4	29	10.5
5/11/21	7.40	 	4.4	3.4	24	7.7
5/12/21	7.41	26	3.7	3.6	16	3.3
5/13/21	 	 	3.1	3.7	15	1.7
5/14/21	 	 	2.4	 	13	 
5/15/21	 	 	1.9	 	11	1.6
5/16/21	 	 	1.5	 	 	 
5/20/21	 	 	1.3	 	 	 
Blood culture on admission revealed polymicrobial bacteremia including vancomycin-resistant Enterococcus faecium, Enterococcus faecalis, and Staphylococcus epidermidis, which raised suspicion for contaminated specimens; repeat blood cultures, urine culture, and pneumonia workup came back negative. The patient remains afebrile and never requires pressors or hemodynamic support during the clinical course, lowering the suspicion of underlying sepsis. Broad-spectrum antibiotics were later discontinued after a negative septic workup. The patient's renal function eventually improved with a creatinine of 1.4 mg/dL on day 8 of admission, and she was finally discharged back to the nursing home.</t>
  </si>
  <si>
    <t>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A 37-year-old male with a history of migraine, chronic back pain, seizure disorder, anxiety, and remote lower back spinal fusion surgery was brought to the hospital for headache, slurred speech, lethargy, visual hallucinations, and inability to get up from the floor. Symptoms started a day prior to presentation. His wife noticed mild drooping of the right side of his mouth. His wife endorsed nausea and vomiting. Home medications included hydrocodone-acetaminophen 5-325 mg every six hours as needed, gabapentin (dose unknown), and alprazolam (dose unknown). He never smoked, had occasional alcohol, and no history of illicit drug use. He works at a desk job for family-owned businesses.
On presentation, he was afebrile, had blood pressure (BP) 150/80 mmHg, heart rate 53 beats/min, respiratory rate 18-26/min, and O2 saturation 93% on room air. BMI was 32.4 kg/m2. Glasgow Coma Scale was 14. Cardiac auscultation did not reveal a murmur. Neurological examination was significant for lethargy, intact motor and sensory systems and decreased reflexes in all four extremities. The patient was not cooperative to test cerebellar functions and gait. Initial laboratory work-up in the ER was unremarkable (Table 1).
Table 1
Labs at the time of admission.
AST, aspartate aminotransferase; ALT, alanine transaminase; LDL, low-density lipoprotein; HDL, high-density lipoprotein
White blood cell count	10.6 k/cumm
Hemoglobin	14.9 gm/dL
Hematocrit	42.4%
Platelet count	333 k/cumm
Open in a separate window
Sodium	140 mmol/L
Potassium	4.2 mmol/L
Chloride	105 mmol/L
Bicarbonate	26 mmol/L
Blood urea nitrogen	13 mg/dL
Creatinine	0.89 mg/dL
Glucose	136 mg/dL
Anion Gap	9 mmol/L
Open in a separate window
Alkaline phosphatase	84 units/L
AST	34 units/L
ALT	39 units/L
Total bilirubin	0.3 mg/dL
Open in a separate window
Lipid panel (mg/dL)	Levels in index patient	Reference range
Total cholesterol	155	&lt;= 200
Triglycerides	227	&lt;= 150
LDL	78	=&gt; 40
HDL	32	0-100
Open in a separate window
CT head did not reveal intracranial hemorrhage or mass. Arterial blood gas (ABG) was obtained and showed severe alkalosis with a pH of 7.72, with pCO2 &lt;20 mmHg. Serum bicarbonate was 28 mmol/L (Table 2).
Table 2
ABGs prior to intubation and postintubation. 
ABG, arterial blood gas
ABG	Preintubation	Postintubation
pH	7.72	7.47
PCO2 (mmHg)	&lt; 20	29
PO2 (mmHg)	117	131
HCO3 (mmol/L)	Incalculable	21
Base excess (mmol/L)	Incalculable	- 2
O2 saturation (%)	99	99
Open in a separate window
Work-up for acute encephalopathy was done (Table 3).
Table 3
Work-up for acute encephalopathy and other pertinent labs.
UA, urinalysis; ANA, antinuclear antibody; VDRL, venereal disease research laboratory; TSH, thyroid stimulating hormone
Lab	Level in index patient	Reference range
UA	Negative for nitrite, leucocyte esterase, no wbc or bacteria	Negative
Urine drug screen	Positive for benzodiazepines, opiates, oxycodone	Negative
Ammonia (Mcmol/L)	102	6-47
Sed rate (mmol/L)	8	0-15
ANA titer	&lt; 1:80	&lt; 1:80
VDRL syphilis	Nonreactive	Nonreactive
Vitamin B12 (pg/mL)	334	0 - 1000
TSH (mcU/mL)	0.331	0.4-4.2
T4 (ng/dL)	0.8	0.6-1.5
Folate (ng/mL)	20.7	&gt;= 5.9
Methylmalonic acid (Mcmol/L)	0.13	0-0.4
Open in a separate window
MRI brain diffusion weighted images showed acute ischemic infarcts in bilateral cerebellar hemispheres, superior vermis, and PCA distribution (Figures 1-​-22).
An external file that holds a picture, illustration, etc.
Object name is cureus-0012-00000007747-i01.jpg
Figure 1
Diffusion weighted imaging (A) and corresponding ADC map (B) showing decreased diffusion in the left occipital lobe consistent with acute infarct (arrows pointing).
ADC, apparent diffusion coefficient 
An external file that holds a picture, illustration, etc.
Object name is cureus-0012-00000007747-i02.jpg
Figure 2
Diffusion weighted images show acute infarcts involving the left superior cerebellum (left side arrows) and bilateral inferior cerebellar hemispheres (right side arrows).
The CT angiogram of head and neck revealed a focal loss of gray-white differentiation involving the left temporal, occipital lobe in a left PCA distribution as well as a region in the left cerebellar hemisphere with no flow-limiting stenosis of the major arteries of the neck (Figure 3).
An external file that holds a picture, illustration, etc.
Object name is cureus-0012-00000007747-i03.jpg
Figure 3
Maximum intensity projection of CT arteriography showing occlusion of a branch of the left posterior cerebral artery (arrow).
The patient was out of the therapeutic window for thrombolysis. The patient was started on aspirin, plavix, and high-intensity statin. Due to his altered mental status and severe respiratory alkalosis, he was transferred to ICU and intubated. Two hours postintubation, ABG showed improvement in the alkalosis (Table 2). The patient was extubated in two days. A transesophageal echocardiogram showed a patent foramen ovale (PFO). There was no evidence of venous thrombosis in lower extremities. No arrhythmias were seen on telemetry. He had some memory deficits but no motor or balance deficits by the time of discharge. The patient was discharged to a rehab facility in one week. He follows with the cardiology clinic at a tertiary center for the PFO closure.</t>
  </si>
  <si>
    <t>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A 42-year-old woman (BMI 29.1 kg/m²) who suffered from chronic migraine without aura and migraine with aura once every 1-2 months. She had a regular menstrual cycle and had been taking a progesterone-only contraceptive for 4-5 years.
With treatment using galcanezumab (120 mg per month) for migraine management, she was able to achieve a significant reduction in migraine attacks. However, about 1 or 2 weeks after starting the treatment, she experienced a loss of libido. Sexual arousal also completely disappeared, making it nearly impossible for her to achieve orgasm.
Since the patient was certain that the loss of libido was solely due to taking galcanezumab, she did not consult a psychologist or sex therapist.
Although she did not experience any further side effects from galcanezumab, she decided to switch to erenumab 140 mg monthly. However, erenumab appeared to be less effective, as the patient continued to experience daily headaches (triggered by physical exercise), while still not noticing any improvement in libido.</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</si>
  <si>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23 yo F patient, Territorial medicine setting. 
Fever, pharyngeal pain, throat pain for 3 days. She have pollen allergy. She is taking ibuprofen with temporary benefits. 
Vital signs: BP 125/80 mmHg, HR 85 bpm, SpO2 98%, exploration of oral cavity shows swollen, redness of pharynx, no throat plaques. . </t>
  </si>
  <si>
    <t xml:space="preserve">Suppose that you are a medical diagnosis assistant, skilled in recognizing diseases and prescribing treatments. If a patient has the following condition, give me the most probable diagnosis and the related probability and urgency and rationale for the diagnosis besides suitable treatments. Start your response with Diagnosis:  54-year-old Caucasian female, normal weight who presents to the emergency department with worsening headache, neck pain, and back pain of 2 days duration.
 She also complains of low-grade fevers and chills that developed over the past 24 hours. Her son, who is present during her exam, states that she seems more lethargic and has difficulty maintaining her balance. In addition, she reports 3 to 4 episodes of nausea and vomiting.
Past Medical History
Congestive heart failue, COPD, essential hypertension, epilepsy, stroke, hypothyroidism, anxiety
Surgical History
Hysterectomy, cholecystectomy
Family History
Father had essential hypertension and passed away from a stroke 4 years ago; mother has type II DM and epilepsy; brother has HTN
Social History
Divorced but lives with her two sons who are currently attending college. Smokes ½ ppd x 27 years and drinks alcohol occasionally.
Allergies
NKDA
Home Medications
Advair 250 mcg/50 mcg 1 puff BID
Albuterol metered-dose-inhaler 2 puffs q4h PRN shortness of breath
Alprazolam 0.5 mg PO daily
Aspirin 81 mg PO daily
Atorvastatin 20 mg PO daily
Carvedilol 6.25 mg PO BID
Citalopram 20 mg PO daily
Divalproex sodium 500 mg PO BID
Furosemide 20 mg PO daily
Levothyroxine 88 mcg PO daily
Levetiracetam 500 mg PO BID
Lisinopril 20 mg PO daily
Physical Examination
Vital Signs
BT 38.5°C, HR 72 bpm, RR 23/m, BP 162/87 mmHg, SpO2 91%
Objectivity 
Lethargic, female with dizziness and in mild to moderate distress.
Normocephalic, atraumatic, PERRLA, EOMI, pale or dry mucous membranes and conjunctiva, poor dentition Diminished breath sounds and crackles bilaterally. Abdomen: Soft, non-distended, non-tender, bowel sounds hyperactive. Neurology: Lethargic, oriented to place and person, (–) Brudzinski’s sign, (+) Kernig’s sign. Pedal edema on lower extremities, petechial lesions on lower and upper.
</t>
  </si>
  <si>
    <t xml:space="preserve">Community-Acquired Pneumonia (First Consideration: Possibly Secondary to Mycoplasma pneumoniae)
</t>
  </si>
  <si>
    <t>Chronic Obstructive Pulmonary Disease (COPD) with Possible Bronchiectasis</t>
  </si>
  <si>
    <t>Community-Acquired Pneumonia (CAP) with Possible Parapneumonic Effusion or Empyema</t>
  </si>
  <si>
    <t>Acute Pyelonephritis or Urethritis</t>
  </si>
  <si>
    <t xml:space="preserve">Hairy Cell Leukemia (HCL) with Central Nervous System Involvement
</t>
  </si>
  <si>
    <t>Acute Cystitis (Urinary Tract Infection)</t>
  </si>
  <si>
    <t>Nonalcoholic Fatty Liver Disease (NAFLD) with Possible Nonalcoholic Steatohepatitis (NASH)</t>
  </si>
  <si>
    <t>Urinary Tract Infection with Associated Urosepsis and Right Hydronephrosis Secondary to Ureteral Stone</t>
  </si>
  <si>
    <t xml:space="preserve">Necrotizing Fasciitis Due to Vibrio metschnikovii Infection
</t>
  </si>
  <si>
    <t>Acute Cholecystitis</t>
  </si>
  <si>
    <t xml:space="preserve">Severe Sepsis with Septic Shock Secondary to Pneumococcal Infection and Disseminated Intravascular Coagulation (DIC) Complicated by Purpura Fulminans
</t>
  </si>
  <si>
    <t>Posterior Circulation Stroke due to COVID-19 Associated Vascular Complications</t>
  </si>
  <si>
    <t xml:space="preserve">Medication-Related Sexual Dysfunction (likely secondary to CGRP Antagonists)
</t>
  </si>
  <si>
    <t>Lyme Carditis</t>
  </si>
  <si>
    <t>Acute Kidney Injury (AKI) Secondary to Severe Dehydration and Possible Initial Hypoglycemia with Concurrent Bacterial Infection</t>
  </si>
  <si>
    <t>Cerebral Infarction due to Posterior Cerebral Artery (PCA) Occlusion Secondary to Patent Foramen Ovale (PFO)</t>
  </si>
  <si>
    <t>Medication-Related Sexual Dysfunction (likely secondary to CGRP Antagonists)</t>
  </si>
  <si>
    <t>Viral Pharyngitis (likely due to an upper respiratory infection)</t>
  </si>
  <si>
    <t>Medication-Related Sexual Dysfunction (likely due to Galcanezumab treatment)</t>
  </si>
  <si>
    <t xml:space="preserve">Meningitis (likely viral or early bacterial, given presentation)
</t>
  </si>
  <si>
    <t>Septic Arthritis of the Right Hip</t>
  </si>
  <si>
    <t>Hairy Cell Leukemia</t>
  </si>
  <si>
    <t>Acute Pharyngitis</t>
  </si>
  <si>
    <t>Encephalitis due to Neurocysticercosis</t>
  </si>
  <si>
    <t>Primary Lung Adenocarcinoma with Metastasis</t>
  </si>
  <si>
    <t>Appendicitis with Retroperitoneal Air and Crepitus</t>
  </si>
  <si>
    <t>Necrotizing Fasciitis with Septic Shock</t>
  </si>
  <si>
    <t>Salmonella Choleraesuis Aortitis and Mycotic Aneurysm</t>
  </si>
  <si>
    <t>Vasovagal Syncope due to Gastrointestinal Distress</t>
  </si>
  <si>
    <t>Balanitis with Urethral Cyst and Soft Tissue Gas</t>
  </si>
  <si>
    <t>Methicillin-Sensitive Staphylococcus Aureus (MSSA) Septic Arthritis and Bacteremia</t>
  </si>
  <si>
    <t>Secondary Hemophagocytic Lymphohistiocytosis (HLH) Due to Rickettsial Infection</t>
  </si>
  <si>
    <t>Ischemic Stroke in the Setting of Persistent Trigeminal Artery and Vertebral Hypoplasia</t>
  </si>
  <si>
    <t>ANCA-associated Vasculitis (Microscopic Polyangiitis)</t>
  </si>
  <si>
    <t>Influenza A-Induced Myocarditis</t>
  </si>
  <si>
    <t>Appendicitis with Noncaseating Granuloma and Furunculosis</t>
  </si>
  <si>
    <t>COPD Complicated by Bullae with Intra-bullous Hemorrhage and Infection</t>
  </si>
  <si>
    <t>Galcanezumab-Induced Weight Gain and Libido Decrease</t>
  </si>
  <si>
    <t>Renal Cell Carcinoma with Metastasis</t>
  </si>
  <si>
    <t>Neurally Mediated Syncope Secondary to Non-orthostatic Hypotension</t>
  </si>
  <si>
    <t>Carotid Sinus Syndrome</t>
  </si>
  <si>
    <t>Pertussis (Whooping Cough)</t>
  </si>
  <si>
    <t>Myelodysplastic Syndromes Following Chronic Inflammation</t>
  </si>
  <si>
    <t>Community-Acquired Pneumonia</t>
  </si>
  <si>
    <t>Systemic Inflammatory Response Syndrome Due to Infection</t>
  </si>
  <si>
    <t>Cystitis</t>
  </si>
  <si>
    <t>Nonalcoholic Fatty Liver Disease</t>
  </si>
  <si>
    <t>Urosepsis Secondary to Right Ureteral Stone and S. sanguinis Bacteremia</t>
  </si>
  <si>
    <t>Necrotizing Fasciitis Induced by Vibrio metschnikovii Infection</t>
  </si>
  <si>
    <t>Gastroenteritis</t>
  </si>
  <si>
    <t>Septic Shock Due to Streptococcus pneumoniae</t>
  </si>
  <si>
    <t>Infarct in Posterior Circulation Induced by COVID-19</t>
  </si>
  <si>
    <t>Galcanezumab-Induced Sexual Dysfunction</t>
  </si>
  <si>
    <t>Lyme Carditis with Complete Heart Block</t>
  </si>
  <si>
    <t>Acute Kidney Injury Due to Metformin-Associated Lactic Acidosis</t>
  </si>
  <si>
    <t>Acute Ischemic Infarcts Due to Cardioembolic Source</t>
  </si>
  <si>
    <t>Medication-Induced Sexual Dysfunction</t>
  </si>
  <si>
    <t>Meningitis</t>
  </si>
  <si>
    <t>LR=0.4, BT=4, EP=7</t>
  </si>
  <si>
    <t>Correct</t>
  </si>
  <si>
    <t>Orbit+H12al Cellulitis Secondary to Pneumothorax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</si>
</sst>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1"/>
      <name val="Aptos"/>
      <family val="2"/>
      <charset val="1"/>
    </font>
  </fonts>
  <fills count="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2"/>
        <bgColor indexed="64"/>
      </patternFill>
    </fill>
    <fill>
      <patternFill patternType="solid">
        <fgColor theme="5" tint="0.59999389629810485"/>
        <bgColor indexed="64"/>
      </patternFill>
    </fill>
    <fill>
      <patternFill patternType="solid">
        <fgColor theme="9"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s>
  <cellStyleXfs count="1">
    <xf numFmtId="0" fontId="0" fillId="0" borderId="0"/>
  </cellStyleXfs>
  <cellXfs count="27">
    <xf numFmtId="0" fontId="0" fillId="0" borderId="0" xfId="0"/>
    <xf numFmtId="0" fontId="0" fillId="0" borderId="0" xfId="0" applyAlignment="1">
      <alignment wrapText="1"/>
    </xf>
    <xf numFmtId="0" fontId="0" fillId="0" borderId="3" xfId="0" applyBorder="1" applyAlignment="1">
      <alignment vertical="top" wrapText="1"/>
    </xf>
    <xf numFmtId="0" fontId="0" fillId="0" borderId="3" xfId="0" applyBorder="1" applyAlignment="1">
      <alignment horizontal="center" vertical="top" wrapText="1"/>
    </xf>
    <xf numFmtId="0" fontId="0" fillId="3" borderId="3" xfId="0" applyFill="1" applyBorder="1" applyAlignment="1">
      <alignment vertical="top" wrapText="1"/>
    </xf>
    <xf numFmtId="0" fontId="0" fillId="0" borderId="2" xfId="0" applyBorder="1" applyAlignment="1">
      <alignment horizontal="center" vertical="top" wrapText="1"/>
    </xf>
    <xf numFmtId="0" fontId="0" fillId="0" borderId="4" xfId="0" applyBorder="1" applyAlignment="1">
      <alignment vertical="top" wrapText="1"/>
    </xf>
    <xf numFmtId="0" fontId="0" fillId="0" borderId="2" xfId="0" applyBorder="1" applyAlignment="1">
      <alignment vertical="top" wrapText="1"/>
    </xf>
    <xf numFmtId="0" fontId="0" fillId="0" borderId="6" xfId="0" applyBorder="1" applyAlignment="1">
      <alignment vertical="top" wrapText="1"/>
    </xf>
    <xf numFmtId="0" fontId="0" fillId="3" borderId="6" xfId="0" applyFill="1" applyBorder="1" applyAlignment="1">
      <alignment vertical="top" wrapText="1"/>
    </xf>
    <xf numFmtId="0" fontId="0" fillId="0" borderId="6" xfId="0" applyBorder="1" applyAlignment="1">
      <alignment horizontal="center" vertical="top" wrapText="1"/>
    </xf>
    <xf numFmtId="0" fontId="0" fillId="0" borderId="1" xfId="0" applyBorder="1" applyAlignment="1">
      <alignment horizontal="left" vertical="top" wrapText="1"/>
    </xf>
    <xf numFmtId="0" fontId="0" fillId="0" borderId="1" xfId="0" applyBorder="1" applyAlignment="1">
      <alignment wrapText="1"/>
    </xf>
    <xf numFmtId="0" fontId="1" fillId="2" borderId="1" xfId="0" applyFont="1" applyFill="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vertical="top" wrapText="1"/>
    </xf>
    <xf numFmtId="0" fontId="0" fillId="3" borderId="1" xfId="0" applyFill="1" applyBorder="1" applyAlignment="1">
      <alignment vertical="top" wrapText="1"/>
    </xf>
    <xf numFmtId="0" fontId="1" fillId="4"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0" fillId="0" borderId="0" xfId="0" applyAlignment="1">
      <alignment vertical="center" wrapText="1"/>
    </xf>
    <xf numFmtId="0" fontId="2" fillId="0" borderId="1" xfId="0" applyFont="1" applyBorder="1" applyAlignment="1">
      <alignment vertical="top" wrapText="1"/>
    </xf>
    <xf numFmtId="0" fontId="0" fillId="0" borderId="0" xfId="0" applyAlignment="1">
      <alignment horizontal="center" vertical="center" wrapText="1"/>
    </xf>
    <xf numFmtId="0" fontId="0" fillId="0" borderId="1" xfId="0" applyBorder="1"/>
    <xf numFmtId="0" fontId="1" fillId="5" borderId="1" xfId="0" applyFont="1" applyFill="1" applyBorder="1" applyAlignment="1">
      <alignment horizontal="center" vertical="top" wrapText="1"/>
    </xf>
    <xf numFmtId="0" fontId="1" fillId="6" borderId="1" xfId="0" applyFont="1" applyFill="1" applyBorder="1" applyAlignment="1">
      <alignment horizontal="center" vertical="top"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21D67-F758-441A-8423-900BB90061A3}">
  <dimension ref="A1:H23"/>
  <sheetViews>
    <sheetView topLeftCell="E20" workbookViewId="0">
      <selection activeCell="B18" sqref="B18"/>
    </sheetView>
  </sheetViews>
  <sheetFormatPr baseColWidth="10" defaultColWidth="8.6640625" defaultRowHeight="15" x14ac:dyDescent="0.2"/>
  <cols>
    <col min="1" max="1" width="8.6640625" style="1"/>
    <col min="2" max="2" width="57.33203125" style="1" customWidth="1"/>
    <col min="3" max="3" width="25.1640625" style="1" customWidth="1"/>
    <col min="4" max="4" width="33.33203125" style="1" customWidth="1"/>
    <col min="5" max="5" width="44.6640625" style="1" customWidth="1"/>
    <col min="6" max="6" width="32.1640625" style="22" customWidth="1"/>
    <col min="7" max="7" width="32.33203125" style="1" customWidth="1"/>
    <col min="8" max="8" width="35.1640625" style="22" customWidth="1"/>
    <col min="9" max="16384" width="8.6640625" style="1"/>
  </cols>
  <sheetData>
    <row r="1" spans="1:8" s="20" customFormat="1" ht="32" x14ac:dyDescent="0.2">
      <c r="A1" s="18" t="s">
        <v>0</v>
      </c>
      <c r="B1" s="17"/>
      <c r="C1" s="17" t="s">
        <v>2</v>
      </c>
      <c r="D1" s="19" t="s">
        <v>76</v>
      </c>
      <c r="E1" s="17" t="s">
        <v>81</v>
      </c>
      <c r="F1" s="17" t="s">
        <v>82</v>
      </c>
      <c r="G1" s="17" t="s">
        <v>83</v>
      </c>
      <c r="H1" s="17" t="s">
        <v>84</v>
      </c>
    </row>
    <row r="2" spans="1:8" ht="125.5" customHeight="1" x14ac:dyDescent="0.2">
      <c r="A2" s="5">
        <v>1</v>
      </c>
      <c r="B2" s="2" t="s">
        <v>90</v>
      </c>
      <c r="C2" s="6" t="s">
        <v>12</v>
      </c>
      <c r="D2" s="7" t="s">
        <v>13</v>
      </c>
      <c r="E2" s="15" t="s">
        <v>110</v>
      </c>
      <c r="F2" s="26" t="s">
        <v>111</v>
      </c>
      <c r="G2" s="12" t="s">
        <v>174</v>
      </c>
      <c r="H2" s="26" t="s">
        <v>111</v>
      </c>
    </row>
    <row r="3" spans="1:8" ht="125.5" customHeight="1" x14ac:dyDescent="0.2">
      <c r="A3" s="5">
        <v>2</v>
      </c>
      <c r="B3" s="2" t="s">
        <v>91</v>
      </c>
      <c r="C3" s="2" t="s">
        <v>21</v>
      </c>
      <c r="D3" s="8" t="s">
        <v>22</v>
      </c>
      <c r="E3" s="15" t="s">
        <v>112</v>
      </c>
      <c r="F3" s="26" t="s">
        <v>111</v>
      </c>
      <c r="G3" s="12" t="s">
        <v>175</v>
      </c>
      <c r="H3" s="26" t="s">
        <v>111</v>
      </c>
    </row>
    <row r="4" spans="1:8" ht="125.5" customHeight="1" x14ac:dyDescent="0.2">
      <c r="A4" s="5">
        <v>3</v>
      </c>
      <c r="B4" s="2" t="s">
        <v>92</v>
      </c>
      <c r="C4" s="2" t="s">
        <v>24</v>
      </c>
      <c r="D4" s="8" t="s">
        <v>25</v>
      </c>
      <c r="E4" s="15" t="s">
        <v>113</v>
      </c>
      <c r="F4" s="26" t="s">
        <v>111</v>
      </c>
      <c r="G4" s="12" t="s">
        <v>176</v>
      </c>
      <c r="H4" s="26" t="s">
        <v>111</v>
      </c>
    </row>
    <row r="5" spans="1:8" ht="125.5" customHeight="1" x14ac:dyDescent="0.2">
      <c r="A5" s="5">
        <v>4</v>
      </c>
      <c r="B5" s="2" t="s">
        <v>93</v>
      </c>
      <c r="C5" s="2" t="s">
        <v>28</v>
      </c>
      <c r="D5" s="8" t="s">
        <v>29</v>
      </c>
      <c r="E5" s="15" t="s">
        <v>114</v>
      </c>
      <c r="F5" s="26" t="s">
        <v>111</v>
      </c>
      <c r="G5" s="12" t="s">
        <v>171</v>
      </c>
      <c r="H5" s="26" t="s">
        <v>111</v>
      </c>
    </row>
    <row r="6" spans="1:8" ht="125.5" customHeight="1" x14ac:dyDescent="0.2">
      <c r="A6" s="5">
        <v>5</v>
      </c>
      <c r="B6" s="4" t="s">
        <v>94</v>
      </c>
      <c r="C6" s="4" t="s">
        <v>30</v>
      </c>
      <c r="D6" s="9" t="s">
        <v>31</v>
      </c>
      <c r="E6" s="16" t="s">
        <v>116</v>
      </c>
      <c r="F6" s="26" t="s">
        <v>111</v>
      </c>
      <c r="G6" s="12" t="s">
        <v>177</v>
      </c>
      <c r="H6" s="26" t="s">
        <v>111</v>
      </c>
    </row>
    <row r="7" spans="1:8" ht="125.5" customHeight="1" x14ac:dyDescent="0.2">
      <c r="A7" s="5">
        <v>6</v>
      </c>
      <c r="B7" s="2" t="s">
        <v>95</v>
      </c>
      <c r="C7" s="2" t="s">
        <v>32</v>
      </c>
      <c r="D7" s="8" t="s">
        <v>33</v>
      </c>
      <c r="E7" s="15" t="s">
        <v>117</v>
      </c>
      <c r="F7" s="26" t="s">
        <v>111</v>
      </c>
      <c r="G7" s="12" t="s">
        <v>178</v>
      </c>
      <c r="H7" s="26" t="s">
        <v>111</v>
      </c>
    </row>
    <row r="8" spans="1:8" ht="125.5" customHeight="1" x14ac:dyDescent="0.2">
      <c r="A8" s="5">
        <v>7</v>
      </c>
      <c r="B8" s="2" t="s">
        <v>96</v>
      </c>
      <c r="C8" s="2" t="s">
        <v>34</v>
      </c>
      <c r="D8" s="8" t="s">
        <v>35</v>
      </c>
      <c r="E8" s="15" t="s">
        <v>118</v>
      </c>
      <c r="F8" s="26" t="s">
        <v>111</v>
      </c>
      <c r="G8" s="12" t="s">
        <v>179</v>
      </c>
      <c r="H8" s="26" t="s">
        <v>111</v>
      </c>
    </row>
    <row r="9" spans="1:8" ht="125.5" customHeight="1" x14ac:dyDescent="0.2">
      <c r="A9" s="5">
        <v>8</v>
      </c>
      <c r="B9" s="2" t="s">
        <v>97</v>
      </c>
      <c r="C9" s="4" t="s">
        <v>23</v>
      </c>
      <c r="D9" s="9" t="s">
        <v>9</v>
      </c>
      <c r="E9" s="16" t="s">
        <v>119</v>
      </c>
      <c r="F9" s="26" t="s">
        <v>111</v>
      </c>
      <c r="G9" s="12" t="s">
        <v>180</v>
      </c>
      <c r="H9" s="26" t="s">
        <v>111</v>
      </c>
    </row>
    <row r="10" spans="1:8" ht="125.5" customHeight="1" x14ac:dyDescent="0.2">
      <c r="A10" s="5">
        <v>9</v>
      </c>
      <c r="B10" s="2" t="s">
        <v>98</v>
      </c>
      <c r="C10" s="2" t="s">
        <v>36</v>
      </c>
      <c r="D10" s="8" t="s">
        <v>37</v>
      </c>
      <c r="E10" s="15" t="s">
        <v>120</v>
      </c>
      <c r="F10" s="26" t="s">
        <v>111</v>
      </c>
      <c r="G10" s="12" t="s">
        <v>181</v>
      </c>
      <c r="H10" s="26" t="s">
        <v>115</v>
      </c>
    </row>
    <row r="11" spans="1:8" ht="125.5" customHeight="1" x14ac:dyDescent="0.2">
      <c r="A11" s="5">
        <v>10</v>
      </c>
      <c r="B11" s="2" t="s">
        <v>99</v>
      </c>
      <c r="C11" s="2" t="s">
        <v>39</v>
      </c>
      <c r="D11" s="8" t="s">
        <v>40</v>
      </c>
      <c r="E11" s="15" t="s">
        <v>121</v>
      </c>
      <c r="F11" s="26" t="s">
        <v>115</v>
      </c>
      <c r="G11" s="12" t="s">
        <v>182</v>
      </c>
      <c r="H11" s="26" t="s">
        <v>210</v>
      </c>
    </row>
    <row r="12" spans="1:8" ht="125.5" customHeight="1" x14ac:dyDescent="0.2">
      <c r="A12" s="5">
        <v>11</v>
      </c>
      <c r="B12" s="2" t="s">
        <v>100</v>
      </c>
      <c r="C12" s="4" t="s">
        <v>42</v>
      </c>
      <c r="D12" s="9" t="s">
        <v>43</v>
      </c>
      <c r="E12" s="16" t="s">
        <v>122</v>
      </c>
      <c r="F12" s="26" t="s">
        <v>111</v>
      </c>
      <c r="G12" s="12" t="s">
        <v>211</v>
      </c>
      <c r="H12" s="26" t="s">
        <v>111</v>
      </c>
    </row>
    <row r="13" spans="1:8" ht="125.5" customHeight="1" x14ac:dyDescent="0.2">
      <c r="A13" s="5">
        <v>12</v>
      </c>
      <c r="B13" s="2" t="s">
        <v>101</v>
      </c>
      <c r="C13" s="2" t="s">
        <v>44</v>
      </c>
      <c r="D13" s="8" t="s">
        <v>45</v>
      </c>
      <c r="E13" s="15" t="s">
        <v>123</v>
      </c>
      <c r="F13" s="26" t="s">
        <v>111</v>
      </c>
      <c r="G13" s="12" t="s">
        <v>183</v>
      </c>
      <c r="H13" s="26" t="s">
        <v>111</v>
      </c>
    </row>
    <row r="14" spans="1:8" ht="125.5" customHeight="1" x14ac:dyDescent="0.2">
      <c r="A14" s="5">
        <v>13</v>
      </c>
      <c r="B14" s="3" t="s">
        <v>102</v>
      </c>
      <c r="C14" s="3" t="s">
        <v>46</v>
      </c>
      <c r="D14" s="10" t="s">
        <v>47</v>
      </c>
      <c r="E14" s="14" t="s">
        <v>124</v>
      </c>
      <c r="F14" s="26" t="s">
        <v>111</v>
      </c>
      <c r="G14" s="12" t="s">
        <v>184</v>
      </c>
      <c r="H14" s="26" t="s">
        <v>111</v>
      </c>
    </row>
    <row r="15" spans="1:8" ht="125.5" customHeight="1" x14ac:dyDescent="0.2">
      <c r="A15" s="5">
        <v>14</v>
      </c>
      <c r="B15" s="3" t="s">
        <v>103</v>
      </c>
      <c r="C15" s="3" t="s">
        <v>48</v>
      </c>
      <c r="D15" s="10" t="s">
        <v>49</v>
      </c>
      <c r="E15" s="14" t="s">
        <v>125</v>
      </c>
      <c r="F15" s="26" t="s">
        <v>111</v>
      </c>
      <c r="G15" s="12" t="s">
        <v>185</v>
      </c>
      <c r="H15" s="26" t="s">
        <v>111</v>
      </c>
    </row>
    <row r="16" spans="1:8" ht="125.5" customHeight="1" x14ac:dyDescent="0.2">
      <c r="A16" s="5">
        <v>15</v>
      </c>
      <c r="B16" s="3" t="s">
        <v>104</v>
      </c>
      <c r="C16" s="3" t="s">
        <v>50</v>
      </c>
      <c r="D16" s="10" t="s">
        <v>51</v>
      </c>
      <c r="E16" s="14" t="s">
        <v>126</v>
      </c>
      <c r="F16" s="26" t="s">
        <v>111</v>
      </c>
      <c r="G16" s="12" t="s">
        <v>186</v>
      </c>
      <c r="H16" s="26" t="s">
        <v>111</v>
      </c>
    </row>
    <row r="17" spans="1:8" ht="125.5" customHeight="1" x14ac:dyDescent="0.2">
      <c r="A17" s="5">
        <v>16</v>
      </c>
      <c r="B17" s="3" t="s">
        <v>105</v>
      </c>
      <c r="C17" s="3" t="s">
        <v>55</v>
      </c>
      <c r="D17" s="10" t="s">
        <v>56</v>
      </c>
      <c r="E17" s="14" t="s">
        <v>127</v>
      </c>
      <c r="F17" s="26" t="s">
        <v>111</v>
      </c>
      <c r="G17" s="12" t="s">
        <v>187</v>
      </c>
      <c r="H17" s="26" t="s">
        <v>115</v>
      </c>
    </row>
    <row r="18" spans="1:8" ht="125.5" customHeight="1" x14ac:dyDescent="0.2">
      <c r="A18" s="5">
        <v>17</v>
      </c>
      <c r="B18" s="3" t="s">
        <v>106</v>
      </c>
      <c r="C18" s="3" t="s">
        <v>58</v>
      </c>
      <c r="D18" s="10" t="s">
        <v>59</v>
      </c>
      <c r="E18" s="14" t="s">
        <v>128</v>
      </c>
      <c r="F18" s="26" t="s">
        <v>115</v>
      </c>
      <c r="G18" s="12" t="s">
        <v>188</v>
      </c>
      <c r="H18" s="26" t="s">
        <v>115</v>
      </c>
    </row>
    <row r="19" spans="1:8" ht="125.5" customHeight="1" x14ac:dyDescent="0.2">
      <c r="A19" s="5">
        <v>18</v>
      </c>
      <c r="B19" s="3" t="s">
        <v>107</v>
      </c>
      <c r="C19" s="3" t="s">
        <v>62</v>
      </c>
      <c r="D19" s="10" t="s">
        <v>63</v>
      </c>
      <c r="E19" s="14" t="s">
        <v>129</v>
      </c>
      <c r="F19" s="26" t="s">
        <v>111</v>
      </c>
      <c r="G19" s="12" t="s">
        <v>189</v>
      </c>
      <c r="H19" s="26" t="s">
        <v>111</v>
      </c>
    </row>
    <row r="20" spans="1:8" ht="125.5" customHeight="1" x14ac:dyDescent="0.2">
      <c r="A20" s="5">
        <v>19</v>
      </c>
      <c r="B20" s="3" t="s">
        <v>108</v>
      </c>
      <c r="C20" s="3" t="s">
        <v>69</v>
      </c>
      <c r="D20" s="10" t="s">
        <v>70</v>
      </c>
      <c r="E20" s="14" t="s">
        <v>130</v>
      </c>
      <c r="F20" s="26" t="s">
        <v>115</v>
      </c>
      <c r="G20" s="12" t="s">
        <v>190</v>
      </c>
      <c r="H20" s="26" t="s">
        <v>111</v>
      </c>
    </row>
    <row r="21" spans="1:8" ht="125.5" customHeight="1" x14ac:dyDescent="0.2">
      <c r="A21" s="5">
        <v>20</v>
      </c>
      <c r="B21" s="3" t="s">
        <v>109</v>
      </c>
      <c r="C21" s="3" t="s">
        <v>71</v>
      </c>
      <c r="D21" s="10" t="s">
        <v>72</v>
      </c>
      <c r="E21" s="14" t="s">
        <v>131</v>
      </c>
      <c r="F21" s="26" t="s">
        <v>115</v>
      </c>
      <c r="G21" s="12" t="s">
        <v>191</v>
      </c>
      <c r="H21" s="26" t="s">
        <v>115</v>
      </c>
    </row>
    <row r="23" spans="1:8" x14ac:dyDescent="0.2">
      <c r="F23" s="22">
        <f>COUNTIF(F2:F21, "correct")</f>
        <v>4</v>
      </c>
      <c r="H23" s="22">
        <f>COUNTIF(H2:H21,"correct")</f>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FC7C9-346C-442D-80B4-16FBF54EA90D}">
  <dimension ref="A1:Q23"/>
  <sheetViews>
    <sheetView topLeftCell="E17" zoomScale="82" workbookViewId="0">
      <selection activeCell="F23" sqref="F23"/>
    </sheetView>
  </sheetViews>
  <sheetFormatPr baseColWidth="10" defaultColWidth="8.6640625" defaultRowHeight="15" x14ac:dyDescent="0.2"/>
  <cols>
    <col min="1" max="1" width="8.6640625" style="1"/>
    <col min="2" max="2" width="59.83203125" style="1" customWidth="1"/>
    <col min="3" max="3" width="22.1640625" style="1" customWidth="1"/>
    <col min="4" max="4" width="41.1640625" style="1" customWidth="1"/>
    <col min="5" max="5" width="44.5" style="1" customWidth="1"/>
    <col min="6" max="6" width="34.83203125" style="1" customWidth="1"/>
    <col min="7" max="7" width="42.1640625" style="1" customWidth="1"/>
    <col min="8" max="8" width="32.33203125" style="1" customWidth="1"/>
    <col min="9" max="16384" width="8.6640625" style="1"/>
  </cols>
  <sheetData>
    <row r="1" spans="1:17" s="22" customFormat="1" ht="32" x14ac:dyDescent="0.2">
      <c r="A1" s="18" t="s">
        <v>0</v>
      </c>
      <c r="B1" s="17" t="s">
        <v>1</v>
      </c>
      <c r="C1" s="17" t="s">
        <v>2</v>
      </c>
      <c r="D1" s="17" t="s">
        <v>76</v>
      </c>
      <c r="E1" s="17" t="s">
        <v>81</v>
      </c>
      <c r="F1" s="17" t="s">
        <v>82</v>
      </c>
      <c r="G1" s="17" t="s">
        <v>83</v>
      </c>
      <c r="H1" s="17" t="s">
        <v>84</v>
      </c>
    </row>
    <row r="2" spans="1:17" ht="125.5" customHeight="1" x14ac:dyDescent="0.2">
      <c r="A2" s="14">
        <v>1</v>
      </c>
      <c r="B2" s="21" t="s">
        <v>132</v>
      </c>
      <c r="C2" s="15" t="s">
        <v>3</v>
      </c>
      <c r="D2" s="15" t="s">
        <v>4</v>
      </c>
      <c r="E2" s="15" t="s">
        <v>151</v>
      </c>
      <c r="F2" s="11" t="s">
        <v>111</v>
      </c>
      <c r="G2" s="12" t="s">
        <v>192</v>
      </c>
      <c r="H2" s="12" t="s">
        <v>115</v>
      </c>
    </row>
    <row r="3" spans="1:17" ht="125.5" customHeight="1" x14ac:dyDescent="0.2">
      <c r="A3" s="14">
        <v>2</v>
      </c>
      <c r="B3" s="15" t="s">
        <v>133</v>
      </c>
      <c r="C3" s="15" t="s">
        <v>5</v>
      </c>
      <c r="D3" s="15" t="s">
        <v>6</v>
      </c>
      <c r="E3" s="15" t="s">
        <v>152</v>
      </c>
      <c r="F3" s="11" t="s">
        <v>115</v>
      </c>
      <c r="G3" s="12" t="s">
        <v>193</v>
      </c>
      <c r="H3" s="12" t="s">
        <v>111</v>
      </c>
    </row>
    <row r="4" spans="1:17" ht="125.5" customHeight="1" x14ac:dyDescent="0.2">
      <c r="A4" s="14">
        <v>3</v>
      </c>
      <c r="B4" s="15" t="s">
        <v>134</v>
      </c>
      <c r="C4" s="15" t="s">
        <v>7</v>
      </c>
      <c r="D4" s="15" t="s">
        <v>8</v>
      </c>
      <c r="E4" s="15" t="s">
        <v>153</v>
      </c>
      <c r="F4" s="11" t="s">
        <v>115</v>
      </c>
      <c r="G4" s="12" t="s">
        <v>194</v>
      </c>
      <c r="H4" s="12" t="s">
        <v>115</v>
      </c>
      <c r="Q4" s="1" t="s">
        <v>1</v>
      </c>
    </row>
    <row r="5" spans="1:17" ht="125.5" customHeight="1" x14ac:dyDescent="0.2">
      <c r="A5" s="14">
        <v>4</v>
      </c>
      <c r="B5" s="15" t="s">
        <v>135</v>
      </c>
      <c r="C5" s="15" t="s">
        <v>10</v>
      </c>
      <c r="D5" s="15" t="s">
        <v>11</v>
      </c>
      <c r="E5" s="15" t="s">
        <v>154</v>
      </c>
      <c r="F5" s="11" t="s">
        <v>111</v>
      </c>
      <c r="G5" s="12" t="s">
        <v>195</v>
      </c>
      <c r="H5" s="12" t="s">
        <v>111</v>
      </c>
    </row>
    <row r="6" spans="1:17" ht="125.5" customHeight="1" x14ac:dyDescent="0.2">
      <c r="A6" s="14">
        <v>5</v>
      </c>
      <c r="B6" s="15" t="s">
        <v>136</v>
      </c>
      <c r="C6" s="15" t="s">
        <v>14</v>
      </c>
      <c r="D6" s="15" t="s">
        <v>15</v>
      </c>
      <c r="E6" s="15" t="s">
        <v>155</v>
      </c>
      <c r="F6" s="11" t="s">
        <v>111</v>
      </c>
      <c r="G6" s="12" t="s">
        <v>172</v>
      </c>
      <c r="H6" s="12" t="s">
        <v>111</v>
      </c>
    </row>
    <row r="7" spans="1:17" ht="125.5" customHeight="1" x14ac:dyDescent="0.2">
      <c r="A7" s="14">
        <v>6</v>
      </c>
      <c r="B7" s="15" t="s">
        <v>137</v>
      </c>
      <c r="C7" s="15" t="s">
        <v>16</v>
      </c>
      <c r="D7" s="15" t="s">
        <v>17</v>
      </c>
      <c r="E7" s="15" t="s">
        <v>156</v>
      </c>
      <c r="F7" s="11" t="s">
        <v>111</v>
      </c>
      <c r="G7" s="12" t="s">
        <v>196</v>
      </c>
      <c r="H7" s="12" t="s">
        <v>111</v>
      </c>
    </row>
    <row r="8" spans="1:17" ht="125.5" customHeight="1" x14ac:dyDescent="0.2">
      <c r="A8" s="14">
        <v>7</v>
      </c>
      <c r="B8" s="15" t="s">
        <v>138</v>
      </c>
      <c r="C8" s="15" t="s">
        <v>18</v>
      </c>
      <c r="D8" s="15" t="s">
        <v>19</v>
      </c>
      <c r="E8" s="15" t="s">
        <v>157</v>
      </c>
      <c r="F8" s="11" t="s">
        <v>115</v>
      </c>
      <c r="G8" s="12" t="s">
        <v>197</v>
      </c>
      <c r="H8" s="12" t="s">
        <v>115</v>
      </c>
    </row>
    <row r="9" spans="1:17" ht="125.5" customHeight="1" x14ac:dyDescent="0.2">
      <c r="A9" s="14">
        <v>8</v>
      </c>
      <c r="B9" s="15" t="s">
        <v>139</v>
      </c>
      <c r="C9" s="15" t="s">
        <v>23</v>
      </c>
      <c r="D9" s="15" t="s">
        <v>9</v>
      </c>
      <c r="E9" s="15" t="s">
        <v>158</v>
      </c>
      <c r="F9" s="11" t="s">
        <v>115</v>
      </c>
      <c r="G9" s="12" t="s">
        <v>198</v>
      </c>
      <c r="H9" s="12" t="s">
        <v>115</v>
      </c>
    </row>
    <row r="10" spans="1:17" ht="125.5" customHeight="1" x14ac:dyDescent="0.2">
      <c r="A10" s="14">
        <v>9</v>
      </c>
      <c r="B10" s="15" t="s">
        <v>140</v>
      </c>
      <c r="C10" s="15" t="s">
        <v>20</v>
      </c>
      <c r="D10" s="15" t="s">
        <v>9</v>
      </c>
      <c r="E10" s="15" t="s">
        <v>159</v>
      </c>
      <c r="F10" s="11" t="s">
        <v>111</v>
      </c>
      <c r="G10" s="12" t="s">
        <v>199</v>
      </c>
      <c r="H10" s="12" t="s">
        <v>111</v>
      </c>
    </row>
    <row r="11" spans="1:17" ht="125.5" customHeight="1" x14ac:dyDescent="0.2">
      <c r="A11" s="14">
        <v>10</v>
      </c>
      <c r="B11" s="16" t="s">
        <v>141</v>
      </c>
      <c r="C11" s="16" t="s">
        <v>26</v>
      </c>
      <c r="D11" s="16" t="s">
        <v>27</v>
      </c>
      <c r="E11" s="16" t="s">
        <v>160</v>
      </c>
      <c r="F11" s="11" t="s">
        <v>111</v>
      </c>
      <c r="G11" s="12" t="s">
        <v>200</v>
      </c>
      <c r="H11" s="12" t="s">
        <v>115</v>
      </c>
    </row>
    <row r="12" spans="1:17" ht="125.5" customHeight="1" x14ac:dyDescent="0.2">
      <c r="A12" s="14">
        <v>11</v>
      </c>
      <c r="B12" s="14" t="s">
        <v>142</v>
      </c>
      <c r="C12" s="14" t="s">
        <v>52</v>
      </c>
      <c r="D12" s="14" t="s">
        <v>53</v>
      </c>
      <c r="E12" s="14" t="s">
        <v>161</v>
      </c>
      <c r="F12" s="12" t="s">
        <v>115</v>
      </c>
      <c r="G12" s="12" t="s">
        <v>201</v>
      </c>
      <c r="H12" s="12" t="s">
        <v>115</v>
      </c>
    </row>
    <row r="13" spans="1:17" ht="125.5" customHeight="1" x14ac:dyDescent="0.2">
      <c r="A13" s="14">
        <v>12</v>
      </c>
      <c r="B13" s="14" t="s">
        <v>143</v>
      </c>
      <c r="C13" s="14" t="s">
        <v>54</v>
      </c>
      <c r="D13" s="14" t="s">
        <v>41</v>
      </c>
      <c r="E13" s="14" t="s">
        <v>162</v>
      </c>
      <c r="F13" s="12" t="s">
        <v>115</v>
      </c>
      <c r="G13" s="12" t="s">
        <v>202</v>
      </c>
      <c r="H13" s="12" t="s">
        <v>115</v>
      </c>
    </row>
    <row r="14" spans="1:17" ht="125.5" customHeight="1" x14ac:dyDescent="0.2">
      <c r="A14" s="14">
        <v>13</v>
      </c>
      <c r="B14" s="14" t="s">
        <v>144</v>
      </c>
      <c r="C14" s="14" t="s">
        <v>58</v>
      </c>
      <c r="D14" s="14" t="s">
        <v>59</v>
      </c>
      <c r="E14" s="14" t="s">
        <v>163</v>
      </c>
      <c r="F14" s="12" t="s">
        <v>115</v>
      </c>
      <c r="G14" s="12" t="s">
        <v>203</v>
      </c>
      <c r="H14" s="12" t="s">
        <v>115</v>
      </c>
    </row>
    <row r="15" spans="1:17" ht="125.5" customHeight="1" x14ac:dyDescent="0.2">
      <c r="A15" s="14">
        <v>14</v>
      </c>
      <c r="B15" s="14" t="s">
        <v>145</v>
      </c>
      <c r="C15" s="14" t="s">
        <v>64</v>
      </c>
      <c r="D15" s="14" t="s">
        <v>65</v>
      </c>
      <c r="E15" s="14" t="s">
        <v>164</v>
      </c>
      <c r="F15" s="12" t="s">
        <v>115</v>
      </c>
      <c r="G15" s="12" t="s">
        <v>204</v>
      </c>
      <c r="H15" s="12" t="s">
        <v>115</v>
      </c>
    </row>
    <row r="16" spans="1:17" ht="125.5" customHeight="1" x14ac:dyDescent="0.2">
      <c r="A16" s="14">
        <v>15</v>
      </c>
      <c r="B16" s="14" t="s">
        <v>146</v>
      </c>
      <c r="C16" s="14" t="s">
        <v>66</v>
      </c>
      <c r="D16" s="14" t="s">
        <v>67</v>
      </c>
      <c r="E16" s="14" t="s">
        <v>165</v>
      </c>
      <c r="F16" s="12" t="s">
        <v>111</v>
      </c>
      <c r="G16" s="12" t="s">
        <v>205</v>
      </c>
      <c r="H16" s="12" t="s">
        <v>115</v>
      </c>
    </row>
    <row r="17" spans="1:8" ht="125.5" customHeight="1" x14ac:dyDescent="0.2">
      <c r="A17" s="14">
        <v>16</v>
      </c>
      <c r="B17" s="14" t="s">
        <v>147</v>
      </c>
      <c r="C17" s="14" t="s">
        <v>61</v>
      </c>
      <c r="D17" s="14" t="s">
        <v>68</v>
      </c>
      <c r="E17" s="14" t="s">
        <v>166</v>
      </c>
      <c r="F17" s="12" t="s">
        <v>115</v>
      </c>
      <c r="G17" s="12" t="s">
        <v>206</v>
      </c>
      <c r="H17" s="12" t="s">
        <v>115</v>
      </c>
    </row>
    <row r="18" spans="1:8" ht="125.5" customHeight="1" x14ac:dyDescent="0.2">
      <c r="A18" s="14">
        <v>17</v>
      </c>
      <c r="B18" s="14" t="s">
        <v>148</v>
      </c>
      <c r="C18" s="14" t="s">
        <v>73</v>
      </c>
      <c r="D18" s="14" t="s">
        <v>74</v>
      </c>
      <c r="E18" s="14" t="s">
        <v>167</v>
      </c>
      <c r="F18" s="12" t="s">
        <v>115</v>
      </c>
      <c r="G18" s="12" t="s">
        <v>207</v>
      </c>
      <c r="H18" s="12" t="s">
        <v>115</v>
      </c>
    </row>
    <row r="19" spans="1:8" ht="125.5" customHeight="1" x14ac:dyDescent="0.2">
      <c r="A19" s="14">
        <v>18</v>
      </c>
      <c r="B19" s="14" t="s">
        <v>149</v>
      </c>
      <c r="C19" s="14" t="s">
        <v>57</v>
      </c>
      <c r="D19" s="14" t="s">
        <v>75</v>
      </c>
      <c r="E19" s="14" t="s">
        <v>168</v>
      </c>
      <c r="F19" s="12" t="s">
        <v>115</v>
      </c>
      <c r="G19" s="12" t="s">
        <v>173</v>
      </c>
      <c r="H19" s="12" t="s">
        <v>115</v>
      </c>
    </row>
    <row r="20" spans="1:8" ht="125.5" customHeight="1" x14ac:dyDescent="0.2">
      <c r="A20" s="14">
        <v>19</v>
      </c>
      <c r="B20" s="14" t="s">
        <v>106</v>
      </c>
      <c r="C20" s="14" t="s">
        <v>58</v>
      </c>
      <c r="D20" s="14" t="s">
        <v>59</v>
      </c>
      <c r="E20" s="14" t="s">
        <v>169</v>
      </c>
      <c r="F20" s="12" t="s">
        <v>115</v>
      </c>
      <c r="G20" s="12" t="s">
        <v>207</v>
      </c>
      <c r="H20" s="12" t="s">
        <v>115</v>
      </c>
    </row>
    <row r="21" spans="1:8" ht="125.5" customHeight="1" x14ac:dyDescent="0.2">
      <c r="A21" s="14">
        <v>20</v>
      </c>
      <c r="B21" s="14" t="s">
        <v>150</v>
      </c>
      <c r="C21" s="14" t="s">
        <v>38</v>
      </c>
      <c r="D21" s="14" t="s">
        <v>60</v>
      </c>
      <c r="E21" s="14" t="s">
        <v>170</v>
      </c>
      <c r="F21" s="12" t="s">
        <v>111</v>
      </c>
      <c r="G21" s="12" t="s">
        <v>208</v>
      </c>
      <c r="H21" s="12" t="s">
        <v>111</v>
      </c>
    </row>
    <row r="23" spans="1:8" x14ac:dyDescent="0.2">
      <c r="F23" s="1">
        <f>COUNTIF(F2:F21,"correct")</f>
        <v>12</v>
      </c>
      <c r="H23" s="1">
        <f>COUNTIF(H2:H21,"correct")</f>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AB56B-03DA-4AF8-9C1E-65AB1652A8D8}">
  <dimension ref="A1:I2"/>
  <sheetViews>
    <sheetView tabSelected="1" topLeftCell="G1" workbookViewId="0">
      <selection activeCell="H22" sqref="H22"/>
    </sheetView>
  </sheetViews>
  <sheetFormatPr baseColWidth="10" defaultColWidth="8.83203125" defaultRowHeight="15" x14ac:dyDescent="0.2"/>
  <cols>
    <col min="1" max="1" width="27.5" customWidth="1"/>
    <col min="2" max="2" width="32.1640625" customWidth="1"/>
    <col min="3" max="3" width="32.33203125" customWidth="1"/>
    <col min="4" max="6" width="36.6640625" customWidth="1"/>
    <col min="7" max="7" width="36" customWidth="1"/>
    <col min="8" max="8" width="37.5" customWidth="1"/>
    <col min="9" max="9" width="38.6640625" customWidth="1"/>
  </cols>
  <sheetData>
    <row r="1" spans="1:9" ht="32" x14ac:dyDescent="0.2">
      <c r="A1" s="13" t="s">
        <v>85</v>
      </c>
      <c r="B1" s="24" t="s">
        <v>77</v>
      </c>
      <c r="C1" s="24" t="s">
        <v>79</v>
      </c>
      <c r="D1" s="24" t="s">
        <v>86</v>
      </c>
      <c r="E1" s="24" t="s">
        <v>88</v>
      </c>
      <c r="F1" s="25" t="s">
        <v>78</v>
      </c>
      <c r="G1" s="25" t="s">
        <v>80</v>
      </c>
      <c r="H1" s="25" t="s">
        <v>87</v>
      </c>
      <c r="I1" s="25" t="s">
        <v>89</v>
      </c>
    </row>
    <row r="2" spans="1:9" x14ac:dyDescent="0.2">
      <c r="A2" s="23" t="s">
        <v>209</v>
      </c>
      <c r="B2" s="23">
        <v>4</v>
      </c>
      <c r="C2" s="23">
        <v>5</v>
      </c>
      <c r="D2" s="23">
        <v>3</v>
      </c>
      <c r="E2" s="23">
        <v>2</v>
      </c>
      <c r="F2" s="23">
        <v>12</v>
      </c>
      <c r="G2" s="23">
        <v>14</v>
      </c>
      <c r="H2" s="23">
        <v>3</v>
      </c>
      <c r="I2" s="2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NewSamples</vt:lpstr>
      <vt:lpstr>FineTunedSamples</vt:lpstr>
      <vt:lpstr>Overall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Abdolreza Mosaddegh</dc:creator>
  <cp:keywords/>
  <dc:description/>
  <cp:lastModifiedBy>Shih-Ju Fu</cp:lastModifiedBy>
  <cp:revision/>
  <dcterms:created xsi:type="dcterms:W3CDTF">2024-06-21T05:49:58Z</dcterms:created>
  <dcterms:modified xsi:type="dcterms:W3CDTF">2026-04-12T21:50:27Z</dcterms:modified>
  <cp:category/>
  <cp:contentStatus/>
</cp:coreProperties>
</file>